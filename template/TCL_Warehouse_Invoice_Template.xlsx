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tt.shaw\Desktop\"/>
    </mc:Choice>
  </mc:AlternateContent>
  <xr:revisionPtr revIDLastSave="0" documentId="8_{B0C7236C-FDE2-4789-8990-43C3FF9C6F58}" xr6:coauthVersionLast="47" xr6:coauthVersionMax="47" xr10:uidLastSave="{00000000-0000-0000-0000-000000000000}"/>
  <bookViews>
    <workbookView xWindow="-108" yWindow="-108" windowWidth="34776" windowHeight="21096" activeTab="1" xr2:uid="{00000000-000D-0000-FFFF-FFFF00000000}"/>
  </bookViews>
  <sheets>
    <sheet name="Invoice" sheetId="1" r:id="rId1"/>
    <sheet name="Line Item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8" i="1" l="1"/>
  <c r="I17" i="1"/>
  <c r="I16" i="1"/>
  <c r="I25" i="1" l="1"/>
  <c r="I26" i="1" l="1"/>
  <c r="I27" i="1" s="1"/>
</calcChain>
</file>

<file path=xl/sharedStrings.xml><?xml version="1.0" encoding="utf-8"?>
<sst xmlns="http://schemas.openxmlformats.org/spreadsheetml/2006/main" count="156" uniqueCount="87">
  <si>
    <t>Invoice</t>
  </si>
  <si>
    <t>Date</t>
  </si>
  <si>
    <t>Invoice #</t>
  </si>
  <si>
    <t>Bill To</t>
  </si>
  <si>
    <t>Ship To</t>
  </si>
  <si>
    <t>TTE Technology Inc
189 Technology Dr.
Irvine, CA 92618</t>
  </si>
  <si>
    <t>P.O. No.</t>
  </si>
  <si>
    <t>Terms</t>
  </si>
  <si>
    <t>Due Date</t>
  </si>
  <si>
    <t>Contract</t>
  </si>
  <si>
    <t>Net 30</t>
  </si>
  <si>
    <t>Description</t>
  </si>
  <si>
    <t>Qty</t>
  </si>
  <si>
    <t>Rate</t>
  </si>
  <si>
    <t>Amount</t>
  </si>
  <si>
    <t>Jun 2026***</t>
  </si>
  <si>
    <t>FGI TV Inventory (in pallet)</t>
  </si>
  <si>
    <t>Subtotal</t>
  </si>
  <si>
    <t>Sales Tax (0.00)</t>
  </si>
  <si>
    <t>Total</t>
  </si>
  <si>
    <t>USSI Address</t>
  </si>
  <si>
    <t>USSI Global</t>
  </si>
  <si>
    <t>USSI Global Wire Information</t>
  </si>
  <si>
    <t>Model</t>
  </si>
  <si>
    <t>TB75N</t>
  </si>
  <si>
    <t>1119020092088960259T0000FJ</t>
  </si>
  <si>
    <t>1119020092088960259T00041G</t>
  </si>
  <si>
    <t>TE75N</t>
  </si>
  <si>
    <t>111902009209776025B50008F5</t>
  </si>
  <si>
    <t>111902009209776025B50008E4</t>
  </si>
  <si>
    <t>TM75N</t>
  </si>
  <si>
    <t>1119020092088860257V000048</t>
  </si>
  <si>
    <t>1119020092088860257V000118</t>
  </si>
  <si>
    <t>TM55N</t>
  </si>
  <si>
    <t>1119020092080260257C00073D</t>
  </si>
  <si>
    <t>1119020092080260257C00069G</t>
  </si>
  <si>
    <t>TB55N</t>
  </si>
  <si>
    <t>1119020092080560259P000219</t>
  </si>
  <si>
    <t>1119020092080560259P0000BD</t>
  </si>
  <si>
    <t>TE55N</t>
  </si>
  <si>
    <t>111902009209756025CB001A5F</t>
  </si>
  <si>
    <t>111902009209756025CB001A6G</t>
  </si>
  <si>
    <t>TM43N</t>
  </si>
  <si>
    <t>1119020092080160259T00009B</t>
  </si>
  <si>
    <t>1119020092080160259T00068U</t>
  </si>
  <si>
    <t>TB43N</t>
  </si>
  <si>
    <t>1119020092080460259P000227</t>
  </si>
  <si>
    <t>1119020092080460259P0004AM</t>
  </si>
  <si>
    <t>TE43N</t>
  </si>
  <si>
    <t>1119020092097360259Q0002BS</t>
  </si>
  <si>
    <t>1119020092097360259Q000ABK</t>
  </si>
  <si>
    <t>TE50N</t>
  </si>
  <si>
    <t>111902009209746025BE0001AU</t>
  </si>
  <si>
    <t>111902009209746025BE00029W</t>
  </si>
  <si>
    <t>TM65N</t>
  </si>
  <si>
    <t>111902009208036025BJ00002G</t>
  </si>
  <si>
    <t>111902009208036025BJ0001DW</t>
  </si>
  <si>
    <t>TE65N</t>
  </si>
  <si>
    <t>111902009209766025C900115G</t>
  </si>
  <si>
    <t>111902009209766025C900113E</t>
  </si>
  <si>
    <t>TB65N</t>
  </si>
  <si>
    <t>1119020092080660259S0002D2</t>
  </si>
  <si>
    <t>1119020092080660259S0002E3</t>
  </si>
  <si>
    <t>Receive Date</t>
  </si>
  <si>
    <t xml:space="preserve">Serial  </t>
  </si>
  <si>
    <t>Charge</t>
  </si>
  <si>
    <t>Pallet Number</t>
  </si>
  <si>
    <t>Special instructions:</t>
  </si>
  <si>
    <t>12302-500240</t>
  </si>
  <si>
    <t>G0202-000201</t>
  </si>
  <si>
    <t>G0202-000233</t>
  </si>
  <si>
    <t>G0504-000304-Z00</t>
  </si>
  <si>
    <t>G0301-001012-Z00</t>
  </si>
  <si>
    <t>G0301-000563-Z00</t>
  </si>
  <si>
    <t>G0301-000900-Z00</t>
  </si>
  <si>
    <t>G0301-000331-Z00</t>
  </si>
  <si>
    <t>TM85N</t>
  </si>
  <si>
    <t>111902009210805026220001AA</t>
  </si>
  <si>
    <t>111902009210805026220000C9</t>
  </si>
  <si>
    <t>TM32N</t>
  </si>
  <si>
    <t>111902009210256025CR00079L</t>
  </si>
  <si>
    <t>111902009210256025CR000C2U</t>
  </si>
  <si>
    <t>TV Part A-Grade Inventory (2-5 Parts in Box)</t>
  </si>
  <si>
    <t>TV Part A-Grade Inventory (6-10 Parts in Box)</t>
  </si>
  <si>
    <t>N/A</t>
  </si>
  <si>
    <t>Quantity in Box</t>
  </si>
  <si>
    <t>Line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</si>
</sst>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\$#,##0.00"/>
  </numFmts>
  <fonts count="8" x14ac:knownFonts="1">
    <font>
      <sz val="11"/>
      <name val="Carlito"/>
    </font>
    <font>
      <b/>
      <sz val="16"/>
      <name val="Carlito"/>
      <family val="2"/>
    </font>
    <font>
      <b/>
      <sz val="28"/>
      <name val="Carlito"/>
      <family val="2"/>
    </font>
    <font>
      <b/>
      <sz val="11"/>
      <name val="Carlito"/>
      <family val="2"/>
    </font>
    <font>
      <sz val="11"/>
      <color theme="1"/>
      <name val="Carlito"/>
      <family val="2"/>
    </font>
    <font>
      <b/>
      <sz val="11"/>
      <color theme="1"/>
      <name val="Carlito"/>
      <family val="2"/>
    </font>
    <font>
      <b/>
      <sz val="11"/>
      <color theme="1"/>
      <name val="Carlito"/>
      <family val="2"/>
    </font>
    <font>
      <sz val="11"/>
      <name val="Carlito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3" fillId="2" borderId="0" xfId="0" applyFont="1" applyFill="1" applyAlignment="1">
      <alignment horizontal="center" vertical="top"/>
    </xf>
    <xf numFmtId="14" fontId="0" fillId="0" borderId="0" xfId="0" applyNumberFormat="1" applyAlignment="1">
      <alignment vertical="top"/>
    </xf>
    <xf numFmtId="164" fontId="3" fillId="0" borderId="0" xfId="0" applyNumberFormat="1" applyFont="1" applyAlignment="1">
      <alignment vertical="top"/>
    </xf>
    <xf numFmtId="0" fontId="3" fillId="0" borderId="0" xfId="0" applyFont="1" applyAlignment="1">
      <alignment horizontal="center" vertical="top"/>
    </xf>
    <xf numFmtId="0" fontId="5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44" fontId="0" fillId="0" borderId="0" xfId="0" applyNumberFormat="1" applyAlignment="1">
      <alignment horizontal="left"/>
    </xf>
    <xf numFmtId="0" fontId="6" fillId="0" borderId="0" xfId="0" applyFont="1" applyAlignment="1">
      <alignment horizontal="left"/>
    </xf>
    <xf numFmtId="44" fontId="0" fillId="0" borderId="0" xfId="0" applyNumberFormat="1" applyAlignment="1">
      <alignment vertical="top"/>
    </xf>
    <xf numFmtId="0" fontId="6" fillId="0" borderId="0" xfId="0" applyFont="1"/>
    <xf numFmtId="0" fontId="3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3" fillId="2" borderId="0" xfId="0" applyFont="1" applyFill="1" applyAlignment="1">
      <alignment horizontal="center" vertical="top"/>
    </xf>
    <xf numFmtId="0" fontId="7" fillId="0" borderId="0" xfId="0" applyFont="1" applyAlignment="1">
      <alignment vertical="top"/>
    </xf>
    <xf numFmtId="0" fontId="2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"/>
  <sheetViews>
    <sheetView workbookViewId="0">
      <selection activeCell="C38" sqref="C38"/>
    </sheetView>
  </sheetViews>
  <sheetFormatPr defaultRowHeight="14.4" x14ac:dyDescent="0.3"/>
  <cols>
    <col min="1" max="1" width="18" customWidth="1"/>
    <col min="2" max="6" width="12" customWidth="1"/>
    <col min="7" max="7" width="10" customWidth="1"/>
    <col min="8" max="9" width="14" customWidth="1"/>
  </cols>
  <sheetData>
    <row r="1" spans="1:9" ht="36.6" x14ac:dyDescent="0.3">
      <c r="A1" s="1" t="s">
        <v>21</v>
      </c>
      <c r="B1" s="2"/>
      <c r="C1" s="2"/>
      <c r="D1" s="2"/>
      <c r="E1" s="2"/>
      <c r="F1" s="2"/>
      <c r="G1" s="23" t="s">
        <v>0</v>
      </c>
      <c r="H1" s="20"/>
      <c r="I1" s="20"/>
    </row>
    <row r="2" spans="1:9" ht="69.900000000000006" customHeight="1" x14ac:dyDescent="0.3">
      <c r="A2" s="3" t="s">
        <v>20</v>
      </c>
      <c r="B2" s="2"/>
      <c r="C2" s="2"/>
      <c r="D2" s="2"/>
      <c r="E2" s="2"/>
      <c r="F2" s="2"/>
      <c r="G2" s="4" t="s">
        <v>1</v>
      </c>
      <c r="H2" s="4" t="s">
        <v>2</v>
      </c>
      <c r="I2" s="2"/>
    </row>
    <row r="3" spans="1:9" x14ac:dyDescent="0.3">
      <c r="A3" s="2"/>
      <c r="B3" s="2"/>
      <c r="C3" s="2"/>
      <c r="D3" s="2"/>
      <c r="E3" s="2"/>
      <c r="F3" s="2"/>
      <c r="G3" s="5">
        <v>46204</v>
      </c>
      <c r="H3" s="2"/>
      <c r="I3" s="2"/>
    </row>
    <row r="4" spans="1:9" x14ac:dyDescent="0.3">
      <c r="A4" s="2"/>
      <c r="B4" s="2"/>
      <c r="C4" s="2"/>
      <c r="D4" s="2"/>
      <c r="E4" s="2"/>
      <c r="F4" s="2"/>
      <c r="G4" s="2"/>
      <c r="H4" s="2"/>
      <c r="I4" s="2"/>
    </row>
    <row r="5" spans="1:9" x14ac:dyDescent="0.3">
      <c r="A5" s="21" t="s">
        <v>3</v>
      </c>
      <c r="B5" s="21"/>
      <c r="C5" s="21"/>
      <c r="D5" s="21"/>
      <c r="E5" s="2"/>
      <c r="F5" s="21" t="s">
        <v>4</v>
      </c>
      <c r="G5" s="21"/>
      <c r="H5" s="21"/>
      <c r="I5" s="21"/>
    </row>
    <row r="6" spans="1:9" x14ac:dyDescent="0.3">
      <c r="A6" s="19" t="s">
        <v>5</v>
      </c>
      <c r="B6" s="20"/>
      <c r="C6" s="20"/>
      <c r="D6" s="20"/>
      <c r="E6" s="2"/>
      <c r="F6" s="19" t="s">
        <v>5</v>
      </c>
      <c r="G6" s="20"/>
      <c r="H6" s="20"/>
      <c r="I6" s="20"/>
    </row>
    <row r="7" spans="1:9" x14ac:dyDescent="0.3">
      <c r="A7" s="20"/>
      <c r="B7" s="20"/>
      <c r="C7" s="20"/>
      <c r="D7" s="20"/>
      <c r="E7" s="2"/>
      <c r="F7" s="20"/>
      <c r="G7" s="20"/>
      <c r="H7" s="20"/>
      <c r="I7" s="20"/>
    </row>
    <row r="8" spans="1:9" x14ac:dyDescent="0.3">
      <c r="A8" s="20"/>
      <c r="B8" s="20"/>
      <c r="C8" s="20"/>
      <c r="D8" s="20"/>
      <c r="E8" s="2"/>
      <c r="F8" s="20"/>
      <c r="G8" s="20"/>
      <c r="H8" s="20"/>
      <c r="I8" s="20"/>
    </row>
    <row r="9" spans="1:9" x14ac:dyDescent="0.3">
      <c r="A9" s="20"/>
      <c r="B9" s="20"/>
      <c r="C9" s="20"/>
      <c r="D9" s="20"/>
      <c r="E9" s="2"/>
      <c r="F9" s="20"/>
      <c r="G9" s="20"/>
      <c r="H9" s="20"/>
      <c r="I9" s="20"/>
    </row>
    <row r="10" spans="1:9" x14ac:dyDescent="0.3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3">
      <c r="A11" s="4" t="s">
        <v>6</v>
      </c>
      <c r="B11" s="4" t="s">
        <v>7</v>
      </c>
      <c r="C11" s="4" t="s">
        <v>8</v>
      </c>
      <c r="D11" s="7"/>
      <c r="E11" s="7"/>
      <c r="F11" s="7"/>
      <c r="G11" s="7"/>
      <c r="H11" s="7"/>
      <c r="I11" s="7"/>
    </row>
    <row r="12" spans="1:9" x14ac:dyDescent="0.3">
      <c r="A12" s="2" t="s">
        <v>9</v>
      </c>
      <c r="B12" s="2" t="s">
        <v>10</v>
      </c>
      <c r="C12" s="5">
        <v>46235</v>
      </c>
      <c r="D12" s="2"/>
      <c r="E12" s="2"/>
      <c r="F12" s="5"/>
      <c r="G12" s="2"/>
      <c r="H12" s="2"/>
      <c r="I12" s="2"/>
    </row>
    <row r="13" spans="1:9" x14ac:dyDescent="0.3">
      <c r="A13" s="2"/>
      <c r="B13" s="2"/>
      <c r="C13" s="2"/>
      <c r="D13" s="2"/>
      <c r="E13" s="2"/>
      <c r="F13" s="2"/>
      <c r="G13" s="2"/>
      <c r="H13" s="2"/>
      <c r="I13" s="2"/>
    </row>
    <row r="14" spans="1:9" ht="24" customHeight="1" x14ac:dyDescent="0.3">
      <c r="A14" s="21" t="s">
        <v>11</v>
      </c>
      <c r="B14" s="21"/>
      <c r="C14" s="21"/>
      <c r="D14" s="21"/>
      <c r="E14" s="21"/>
      <c r="F14" s="21"/>
      <c r="G14" s="4" t="s">
        <v>12</v>
      </c>
      <c r="H14" s="4" t="s">
        <v>13</v>
      </c>
      <c r="I14" s="4" t="s">
        <v>14</v>
      </c>
    </row>
    <row r="15" spans="1:9" x14ac:dyDescent="0.3">
      <c r="A15" s="20" t="s">
        <v>15</v>
      </c>
      <c r="B15" s="20"/>
      <c r="C15" s="20"/>
      <c r="D15" s="20"/>
      <c r="E15" s="20"/>
      <c r="F15" s="20"/>
      <c r="G15" s="2"/>
      <c r="H15" s="2"/>
      <c r="I15" s="2"/>
    </row>
    <row r="16" spans="1:9" x14ac:dyDescent="0.3">
      <c r="A16" s="22" t="s">
        <v>16</v>
      </c>
      <c r="B16" s="20"/>
      <c r="C16" s="20"/>
      <c r="D16" s="20"/>
      <c r="E16" s="20"/>
      <c r="F16" s="20"/>
      <c r="G16" s="2">
        <v>5</v>
      </c>
      <c r="H16" s="16">
        <v>75</v>
      </c>
      <c r="I16" s="16">
        <f>H16*G16</f>
        <v>375</v>
      </c>
    </row>
    <row r="17" spans="1:9" x14ac:dyDescent="0.3">
      <c r="A17" s="22" t="s">
        <v>82</v>
      </c>
      <c r="B17" s="20"/>
      <c r="C17" s="20"/>
      <c r="D17" s="20"/>
      <c r="E17" s="20"/>
      <c r="F17" s="20"/>
      <c r="G17" s="2">
        <v>1</v>
      </c>
      <c r="H17" s="16">
        <v>3.85</v>
      </c>
      <c r="I17" s="16">
        <f>H17*G17</f>
        <v>3.85</v>
      </c>
    </row>
    <row r="18" spans="1:9" x14ac:dyDescent="0.3">
      <c r="A18" s="22" t="s">
        <v>83</v>
      </c>
      <c r="B18" s="20"/>
      <c r="C18" s="20"/>
      <c r="D18" s="20"/>
      <c r="E18" s="20"/>
      <c r="F18" s="20"/>
      <c r="G18" s="2">
        <v>7</v>
      </c>
      <c r="H18" s="16">
        <v>7.7</v>
      </c>
      <c r="I18" s="16">
        <f>H18*G18</f>
        <v>53.9</v>
      </c>
    </row>
    <row r="19" spans="1:9" x14ac:dyDescent="0.3">
      <c r="A19" s="19" t="s">
        <v>22</v>
      </c>
      <c r="B19" s="20"/>
      <c r="C19" s="20"/>
      <c r="D19" s="20"/>
      <c r="E19" s="20"/>
      <c r="F19" s="20"/>
      <c r="G19" s="2"/>
      <c r="H19" s="2"/>
      <c r="I19" s="2"/>
    </row>
    <row r="20" spans="1:9" x14ac:dyDescent="0.3">
      <c r="A20" s="20"/>
      <c r="B20" s="20"/>
      <c r="C20" s="20"/>
      <c r="D20" s="20"/>
      <c r="E20" s="20"/>
      <c r="F20" s="20"/>
      <c r="G20" s="2"/>
      <c r="H20" s="2"/>
      <c r="I20" s="2"/>
    </row>
    <row r="21" spans="1:9" x14ac:dyDescent="0.3">
      <c r="A21" s="20"/>
      <c r="B21" s="20"/>
      <c r="C21" s="20"/>
      <c r="D21" s="20"/>
      <c r="E21" s="20"/>
      <c r="F21" s="20"/>
      <c r="G21" s="2"/>
      <c r="H21" s="2"/>
      <c r="I21" s="2"/>
    </row>
    <row r="22" spans="1:9" x14ac:dyDescent="0.3">
      <c r="A22" s="20"/>
      <c r="B22" s="20"/>
      <c r="C22" s="20"/>
      <c r="D22" s="20"/>
      <c r="E22" s="20"/>
      <c r="F22" s="20"/>
      <c r="G22" s="2"/>
      <c r="H22" s="2"/>
      <c r="I22" s="2"/>
    </row>
    <row r="23" spans="1:9" x14ac:dyDescent="0.3">
      <c r="A23" s="2"/>
      <c r="B23" s="2"/>
      <c r="C23" s="2"/>
      <c r="D23" s="2"/>
      <c r="E23" s="2"/>
      <c r="F23" s="2"/>
      <c r="G23" s="2"/>
      <c r="H23" s="2"/>
      <c r="I23" s="2"/>
    </row>
    <row r="24" spans="1:9" x14ac:dyDescent="0.3">
      <c r="A24" s="2"/>
      <c r="B24" s="2"/>
      <c r="C24" s="2"/>
      <c r="D24" s="2"/>
      <c r="E24" s="2"/>
      <c r="F24" s="2"/>
      <c r="G24" s="2"/>
      <c r="H24" s="2"/>
      <c r="I24" s="2"/>
    </row>
    <row r="25" spans="1:9" x14ac:dyDescent="0.3">
      <c r="A25" s="2"/>
      <c r="B25" s="2"/>
      <c r="C25" s="2"/>
      <c r="D25" s="2"/>
      <c r="E25" s="2"/>
      <c r="F25" s="2"/>
      <c r="G25" s="18" t="s">
        <v>17</v>
      </c>
      <c r="H25" s="18"/>
      <c r="I25" s="6">
        <f>SUM(I16:I18)</f>
        <v>432.75</v>
      </c>
    </row>
    <row r="26" spans="1:9" x14ac:dyDescent="0.3">
      <c r="A26" s="2"/>
      <c r="B26" s="2"/>
      <c r="C26" s="2"/>
      <c r="D26" s="2"/>
      <c r="E26" s="2"/>
      <c r="F26" s="2"/>
      <c r="G26" s="18" t="s">
        <v>18</v>
      </c>
      <c r="H26" s="18"/>
      <c r="I26" s="6">
        <f>I25*7%</f>
        <v>30.292500000000004</v>
      </c>
    </row>
    <row r="27" spans="1:9" x14ac:dyDescent="0.3">
      <c r="A27" s="2"/>
      <c r="B27" s="2"/>
      <c r="C27" s="2"/>
      <c r="D27" s="2"/>
      <c r="E27" s="2"/>
      <c r="F27" s="2"/>
      <c r="G27" s="18" t="s">
        <v>19</v>
      </c>
      <c r="H27" s="18"/>
      <c r="I27" s="6">
        <f>I25+I26</f>
        <v>463.04250000000002</v>
      </c>
    </row>
    <row r="28" spans="1:9" x14ac:dyDescent="0.3">
      <c r="A28" s="2"/>
      <c r="B28" s="2"/>
      <c r="C28" s="2"/>
      <c r="D28" s="2"/>
      <c r="E28" s="2"/>
      <c r="F28" s="2"/>
      <c r="G28" s="2"/>
      <c r="H28" s="2"/>
      <c r="I28" s="2"/>
    </row>
    <row r="29" spans="1:9" x14ac:dyDescent="0.3">
      <c r="A29" s="19" t="s">
        <v>67</v>
      </c>
      <c r="B29" s="20"/>
      <c r="C29" s="20"/>
      <c r="D29" s="20"/>
      <c r="E29" s="20"/>
      <c r="F29" s="20"/>
      <c r="G29" s="20"/>
      <c r="H29" s="20"/>
      <c r="I29" s="20"/>
    </row>
    <row r="30" spans="1:9" x14ac:dyDescent="0.3">
      <c r="A30" s="20"/>
      <c r="B30" s="20"/>
      <c r="C30" s="20"/>
      <c r="D30" s="20"/>
      <c r="E30" s="20"/>
      <c r="F30" s="20"/>
      <c r="G30" s="20"/>
      <c r="H30" s="20"/>
      <c r="I30" s="20"/>
    </row>
    <row r="31" spans="1:9" x14ac:dyDescent="0.3">
      <c r="A31" s="20"/>
      <c r="B31" s="20"/>
      <c r="C31" s="20"/>
      <c r="D31" s="20"/>
      <c r="E31" s="20"/>
      <c r="F31" s="20"/>
      <c r="G31" s="20"/>
      <c r="H31" s="20"/>
      <c r="I31" s="20"/>
    </row>
    <row r="32" spans="1:9" x14ac:dyDescent="0.3">
      <c r="A32" s="20"/>
      <c r="B32" s="20"/>
      <c r="C32" s="20"/>
      <c r="D32" s="20"/>
      <c r="E32" s="20"/>
      <c r="F32" s="20"/>
      <c r="G32" s="20"/>
      <c r="H32" s="20"/>
      <c r="I32" s="20"/>
    </row>
    <row r="33" spans="1:9" x14ac:dyDescent="0.3">
      <c r="A33" s="20"/>
      <c r="B33" s="20"/>
      <c r="C33" s="20"/>
      <c r="D33" s="20"/>
      <c r="E33" s="20"/>
      <c r="F33" s="20"/>
      <c r="G33" s="20"/>
      <c r="H33" s="20"/>
      <c r="I33" s="20"/>
    </row>
    <row r="34" spans="1:9" x14ac:dyDescent="0.3">
      <c r="A34" s="2"/>
      <c r="B34" s="2"/>
      <c r="C34" s="2"/>
      <c r="D34" s="2"/>
      <c r="E34" s="2"/>
      <c r="F34" s="2"/>
      <c r="G34" s="2"/>
      <c r="H34" s="2"/>
      <c r="I34" s="2"/>
    </row>
    <row r="35" spans="1:9" x14ac:dyDescent="0.3">
      <c r="A35" s="2"/>
      <c r="B35" s="2"/>
      <c r="C35" s="2"/>
      <c r="D35" s="2"/>
      <c r="E35" s="2"/>
      <c r="F35" s="2"/>
      <c r="G35" s="2"/>
      <c r="H35" s="2"/>
      <c r="I35" s="2"/>
    </row>
    <row r="36" spans="1:9" x14ac:dyDescent="0.3">
      <c r="A36" s="2"/>
      <c r="B36" s="2"/>
      <c r="C36" s="2"/>
      <c r="D36" s="2"/>
      <c r="E36" s="2"/>
      <c r="F36" s="2"/>
      <c r="G36" s="2"/>
      <c r="H36" s="2"/>
      <c r="I36" s="2"/>
    </row>
    <row r="37" spans="1:9" x14ac:dyDescent="0.3">
      <c r="A37" s="2"/>
      <c r="B37" s="2"/>
      <c r="C37" s="2"/>
      <c r="D37" s="2"/>
      <c r="E37" s="2"/>
      <c r="F37" s="2"/>
      <c r="G37" s="2"/>
      <c r="H37" s="2"/>
      <c r="I37" s="2"/>
    </row>
    <row r="38" spans="1:9" x14ac:dyDescent="0.3">
      <c r="A38" s="2"/>
      <c r="B38" s="2"/>
      <c r="C38" s="2"/>
      <c r="D38" s="2"/>
      <c r="E38" s="2"/>
      <c r="F38" s="2"/>
      <c r="G38" s="2"/>
      <c r="H38" s="2"/>
      <c r="I38" s="2"/>
    </row>
  </sheetData>
  <mergeCells count="15">
    <mergeCell ref="A14:F14"/>
    <mergeCell ref="A15:F15"/>
    <mergeCell ref="A16:F16"/>
    <mergeCell ref="A18:F18"/>
    <mergeCell ref="G1:I1"/>
    <mergeCell ref="A5:D5"/>
    <mergeCell ref="A6:D9"/>
    <mergeCell ref="F5:I5"/>
    <mergeCell ref="F6:I9"/>
    <mergeCell ref="A17:F17"/>
    <mergeCell ref="G27:H27"/>
    <mergeCell ref="A29:I33"/>
    <mergeCell ref="A19:F22"/>
    <mergeCell ref="G25:H25"/>
    <mergeCell ref="G26:H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0"/>
  <sheetViews>
    <sheetView tabSelected="1" workbookViewId="0"/>
  </sheetViews>
  <sheetFormatPr defaultColWidth="9" defaultRowHeight="14.4" x14ac:dyDescent="0.3"/>
  <cols>
    <col min="1" max="1" width="40.6640625" customWidth="1"/>
    <col min="2" max="2" width="19.109375" customWidth="1"/>
    <col min="3" max="3" width="31.109375" customWidth="1"/>
    <col min="4" max="4" width="18.33203125" customWidth="1"/>
    <col min="5" max="5" width="16.44140625" customWidth="1"/>
    <col min="6" max="6" width="17.109375" customWidth="1"/>
    <col min="7" max="7" width="15.5546875" customWidth="1"/>
    <col min="11" max="11" width="9" customWidth="1"/>
  </cols>
  <sheetData>
    <row r="1" spans="1:8" s="9" customFormat="1" x14ac:dyDescent="0.3">
      <c r="A1" s="17" t="s">
        <v>86</v>
      </c>
      <c r="B1" s="10" t="s">
        <v>23</v>
      </c>
      <c r="C1" s="10" t="s">
        <v>64</v>
      </c>
      <c r="D1" s="15" t="s">
        <v>85</v>
      </c>
      <c r="E1" s="10" t="s">
        <v>63</v>
      </c>
      <c r="F1" s="10" t="s">
        <v>66</v>
      </c>
      <c r="G1" s="10" t="s">
        <v>65</v>
      </c>
      <c r="H1" s="8"/>
    </row>
    <row r="2" spans="1:8" x14ac:dyDescent="0.3">
      <c r="A2" t="s">
        <v>16</v>
      </c>
      <c r="B2" s="11" t="s">
        <v>24</v>
      </c>
      <c r="C2" s="11" t="s">
        <v>25</v>
      </c>
      <c r="D2" s="11">
        <v>1</v>
      </c>
      <c r="E2" s="12">
        <v>46121</v>
      </c>
      <c r="F2" s="11">
        <v>1</v>
      </c>
      <c r="G2" s="14">
        <v>0</v>
      </c>
    </row>
    <row r="3" spans="1:8" x14ac:dyDescent="0.3">
      <c r="A3" t="s">
        <v>16</v>
      </c>
      <c r="B3" s="11" t="s">
        <v>24</v>
      </c>
      <c r="C3" s="11" t="s">
        <v>26</v>
      </c>
      <c r="D3" s="11">
        <v>1</v>
      </c>
      <c r="E3" s="12">
        <v>46121</v>
      </c>
      <c r="F3" s="11">
        <v>1</v>
      </c>
      <c r="G3" s="14">
        <v>0</v>
      </c>
    </row>
    <row r="4" spans="1:8" x14ac:dyDescent="0.3">
      <c r="A4" t="s">
        <v>16</v>
      </c>
      <c r="B4" s="11" t="s">
        <v>27</v>
      </c>
      <c r="C4" s="11" t="s">
        <v>28</v>
      </c>
      <c r="D4" s="11">
        <v>1</v>
      </c>
      <c r="E4" s="12">
        <v>46121</v>
      </c>
      <c r="F4" s="11">
        <v>1</v>
      </c>
      <c r="G4" s="14">
        <v>0</v>
      </c>
    </row>
    <row r="5" spans="1:8" x14ac:dyDescent="0.3">
      <c r="A5" t="s">
        <v>16</v>
      </c>
      <c r="B5" s="11" t="s">
        <v>27</v>
      </c>
      <c r="C5" s="11" t="s">
        <v>29</v>
      </c>
      <c r="D5" s="11">
        <v>1</v>
      </c>
      <c r="E5" s="12">
        <v>46121</v>
      </c>
      <c r="F5" s="11">
        <v>1</v>
      </c>
      <c r="G5" s="14">
        <v>0</v>
      </c>
    </row>
    <row r="6" spans="1:8" x14ac:dyDescent="0.3">
      <c r="A6" t="s">
        <v>16</v>
      </c>
      <c r="B6" s="11" t="s">
        <v>30</v>
      </c>
      <c r="C6" s="11" t="s">
        <v>31</v>
      </c>
      <c r="D6" s="11">
        <v>1</v>
      </c>
      <c r="E6" s="12">
        <v>46121</v>
      </c>
      <c r="F6" s="11">
        <v>1</v>
      </c>
      <c r="G6" s="14">
        <v>0</v>
      </c>
    </row>
    <row r="7" spans="1:8" x14ac:dyDescent="0.3">
      <c r="A7" t="s">
        <v>16</v>
      </c>
      <c r="B7" s="11" t="s">
        <v>30</v>
      </c>
      <c r="C7" s="11" t="s">
        <v>32</v>
      </c>
      <c r="D7" s="11">
        <v>1</v>
      </c>
      <c r="E7" s="12">
        <v>46121</v>
      </c>
      <c r="F7" s="11">
        <v>1</v>
      </c>
      <c r="G7" s="14">
        <v>0</v>
      </c>
    </row>
    <row r="8" spans="1:8" x14ac:dyDescent="0.3">
      <c r="A8" t="s">
        <v>16</v>
      </c>
      <c r="B8" s="11" t="s">
        <v>33</v>
      </c>
      <c r="C8" s="13" t="s">
        <v>34</v>
      </c>
      <c r="D8" s="11">
        <v>1</v>
      </c>
      <c r="E8" s="12">
        <v>46121</v>
      </c>
      <c r="F8" s="11">
        <v>1</v>
      </c>
      <c r="G8" s="14">
        <v>75</v>
      </c>
    </row>
    <row r="9" spans="1:8" x14ac:dyDescent="0.3">
      <c r="A9" t="s">
        <v>16</v>
      </c>
      <c r="B9" s="11" t="s">
        <v>33</v>
      </c>
      <c r="C9" s="13" t="s">
        <v>35</v>
      </c>
      <c r="D9" s="11">
        <v>1</v>
      </c>
      <c r="E9" s="12">
        <v>46121</v>
      </c>
      <c r="F9" s="11">
        <v>2</v>
      </c>
      <c r="G9" s="14">
        <v>0</v>
      </c>
    </row>
    <row r="10" spans="1:8" x14ac:dyDescent="0.3">
      <c r="A10" t="s">
        <v>16</v>
      </c>
      <c r="B10" s="11" t="s">
        <v>36</v>
      </c>
      <c r="C10" s="13" t="s">
        <v>37</v>
      </c>
      <c r="D10" s="11">
        <v>1</v>
      </c>
      <c r="E10" s="12">
        <v>46121</v>
      </c>
      <c r="F10" s="11">
        <v>2</v>
      </c>
      <c r="G10" s="14">
        <v>0</v>
      </c>
    </row>
    <row r="11" spans="1:8" x14ac:dyDescent="0.3">
      <c r="A11" t="s">
        <v>16</v>
      </c>
      <c r="B11" s="11" t="s">
        <v>36</v>
      </c>
      <c r="C11" s="11" t="s">
        <v>38</v>
      </c>
      <c r="D11" s="11">
        <v>1</v>
      </c>
      <c r="E11" s="12">
        <v>46121</v>
      </c>
      <c r="F11" s="11">
        <v>2</v>
      </c>
      <c r="G11" s="14">
        <v>0</v>
      </c>
    </row>
    <row r="12" spans="1:8" x14ac:dyDescent="0.3">
      <c r="A12" t="s">
        <v>16</v>
      </c>
      <c r="B12" s="11" t="s">
        <v>39</v>
      </c>
      <c r="C12" s="11" t="s">
        <v>40</v>
      </c>
      <c r="D12" s="11">
        <v>1</v>
      </c>
      <c r="E12" s="12">
        <v>46121</v>
      </c>
      <c r="F12" s="11">
        <v>2</v>
      </c>
      <c r="G12" s="14">
        <v>0</v>
      </c>
    </row>
    <row r="13" spans="1:8" x14ac:dyDescent="0.3">
      <c r="A13" t="s">
        <v>16</v>
      </c>
      <c r="B13" s="11" t="s">
        <v>39</v>
      </c>
      <c r="C13" s="11" t="s">
        <v>41</v>
      </c>
      <c r="D13" s="11">
        <v>1</v>
      </c>
      <c r="E13" s="12">
        <v>46121</v>
      </c>
      <c r="F13" s="11">
        <v>2</v>
      </c>
      <c r="G13" s="14">
        <v>0</v>
      </c>
    </row>
    <row r="14" spans="1:8" x14ac:dyDescent="0.3">
      <c r="A14" t="s">
        <v>16</v>
      </c>
      <c r="B14" s="11" t="s">
        <v>42</v>
      </c>
      <c r="C14" s="11" t="s">
        <v>43</v>
      </c>
      <c r="D14" s="11">
        <v>1</v>
      </c>
      <c r="E14" s="12">
        <v>46121</v>
      </c>
      <c r="F14" s="11">
        <v>2</v>
      </c>
      <c r="G14" s="14">
        <v>0</v>
      </c>
    </row>
    <row r="15" spans="1:8" x14ac:dyDescent="0.3">
      <c r="A15" t="s">
        <v>16</v>
      </c>
      <c r="B15" s="11" t="s">
        <v>42</v>
      </c>
      <c r="C15" s="11" t="s">
        <v>44</v>
      </c>
      <c r="D15" s="11">
        <v>1</v>
      </c>
      <c r="E15" s="12">
        <v>46121</v>
      </c>
      <c r="F15" s="11">
        <v>2</v>
      </c>
      <c r="G15" s="14">
        <v>75</v>
      </c>
    </row>
    <row r="16" spans="1:8" x14ac:dyDescent="0.3">
      <c r="A16" t="s">
        <v>16</v>
      </c>
      <c r="B16" s="11" t="s">
        <v>45</v>
      </c>
      <c r="C16" s="11" t="s">
        <v>46</v>
      </c>
      <c r="D16" s="11">
        <v>1</v>
      </c>
      <c r="E16" s="12">
        <v>46121</v>
      </c>
      <c r="F16" s="11">
        <v>3</v>
      </c>
      <c r="G16" s="14">
        <v>0</v>
      </c>
    </row>
    <row r="17" spans="1:7" x14ac:dyDescent="0.3">
      <c r="A17" t="s">
        <v>16</v>
      </c>
      <c r="B17" s="11" t="s">
        <v>45</v>
      </c>
      <c r="C17" s="11" t="s">
        <v>47</v>
      </c>
      <c r="D17" s="11">
        <v>1</v>
      </c>
      <c r="E17" s="12">
        <v>46121</v>
      </c>
      <c r="F17" s="11">
        <v>3</v>
      </c>
      <c r="G17" s="14">
        <v>0</v>
      </c>
    </row>
    <row r="18" spans="1:7" x14ac:dyDescent="0.3">
      <c r="A18" t="s">
        <v>16</v>
      </c>
      <c r="B18" s="11" t="s">
        <v>48</v>
      </c>
      <c r="C18" s="11" t="s">
        <v>49</v>
      </c>
      <c r="D18" s="11">
        <v>1</v>
      </c>
      <c r="E18" s="12">
        <v>46121</v>
      </c>
      <c r="F18" s="11">
        <v>3</v>
      </c>
      <c r="G18" s="14">
        <v>0</v>
      </c>
    </row>
    <row r="19" spans="1:7" x14ac:dyDescent="0.3">
      <c r="A19" t="s">
        <v>16</v>
      </c>
      <c r="B19" s="11" t="s">
        <v>48</v>
      </c>
      <c r="C19" s="11" t="s">
        <v>50</v>
      </c>
      <c r="D19" s="11">
        <v>1</v>
      </c>
      <c r="E19" s="12">
        <v>46121</v>
      </c>
      <c r="F19" s="11">
        <v>3</v>
      </c>
      <c r="G19" s="14">
        <v>0</v>
      </c>
    </row>
    <row r="20" spans="1:7" x14ac:dyDescent="0.3">
      <c r="A20" t="s">
        <v>16</v>
      </c>
      <c r="B20" s="11" t="s">
        <v>51</v>
      </c>
      <c r="C20" s="11" t="s">
        <v>52</v>
      </c>
      <c r="D20" s="11">
        <v>1</v>
      </c>
      <c r="E20" s="12">
        <v>46121</v>
      </c>
      <c r="F20" s="11">
        <v>3</v>
      </c>
      <c r="G20" s="14">
        <v>75</v>
      </c>
    </row>
    <row r="21" spans="1:7" x14ac:dyDescent="0.3">
      <c r="A21" t="s">
        <v>16</v>
      </c>
      <c r="B21" s="11" t="s">
        <v>51</v>
      </c>
      <c r="C21" s="11" t="s">
        <v>53</v>
      </c>
      <c r="D21" s="11">
        <v>1</v>
      </c>
      <c r="E21" s="12">
        <v>46121</v>
      </c>
      <c r="F21" s="11">
        <v>4</v>
      </c>
      <c r="G21" s="14">
        <v>0</v>
      </c>
    </row>
    <row r="22" spans="1:7" x14ac:dyDescent="0.3">
      <c r="A22" t="s">
        <v>16</v>
      </c>
      <c r="B22" s="11" t="s">
        <v>54</v>
      </c>
      <c r="C22" s="11" t="s">
        <v>55</v>
      </c>
      <c r="D22" s="11">
        <v>1</v>
      </c>
      <c r="E22" s="12">
        <v>46121</v>
      </c>
      <c r="F22" s="11">
        <v>4</v>
      </c>
      <c r="G22" s="14">
        <v>0</v>
      </c>
    </row>
    <row r="23" spans="1:7" x14ac:dyDescent="0.3">
      <c r="A23" t="s">
        <v>16</v>
      </c>
      <c r="B23" s="11" t="s">
        <v>54</v>
      </c>
      <c r="C23" s="11" t="s">
        <v>56</v>
      </c>
      <c r="D23" s="11">
        <v>1</v>
      </c>
      <c r="E23" s="12">
        <v>46121</v>
      </c>
      <c r="F23" s="11">
        <v>4</v>
      </c>
      <c r="G23" s="14">
        <v>0</v>
      </c>
    </row>
    <row r="24" spans="1:7" x14ac:dyDescent="0.3">
      <c r="A24" t="s">
        <v>16</v>
      </c>
      <c r="B24" s="11" t="s">
        <v>57</v>
      </c>
      <c r="C24" s="11" t="s">
        <v>58</v>
      </c>
      <c r="D24" s="11">
        <v>1</v>
      </c>
      <c r="E24" s="12">
        <v>46121</v>
      </c>
      <c r="F24" s="11">
        <v>4</v>
      </c>
      <c r="G24" s="14">
        <v>0</v>
      </c>
    </row>
    <row r="25" spans="1:7" x14ac:dyDescent="0.3">
      <c r="A25" t="s">
        <v>16</v>
      </c>
      <c r="B25" s="11" t="s">
        <v>57</v>
      </c>
      <c r="C25" s="11" t="s">
        <v>59</v>
      </c>
      <c r="D25" s="11">
        <v>1</v>
      </c>
      <c r="E25" s="12">
        <v>46121</v>
      </c>
      <c r="F25" s="11">
        <v>4</v>
      </c>
      <c r="G25" s="14">
        <v>0</v>
      </c>
    </row>
    <row r="26" spans="1:7" x14ac:dyDescent="0.3">
      <c r="A26" t="s">
        <v>16</v>
      </c>
      <c r="B26" s="11" t="s">
        <v>60</v>
      </c>
      <c r="C26" s="11" t="s">
        <v>61</v>
      </c>
      <c r="D26" s="11">
        <v>1</v>
      </c>
      <c r="E26" s="12">
        <v>46121</v>
      </c>
      <c r="F26" s="11">
        <v>4</v>
      </c>
      <c r="G26" s="14">
        <v>0</v>
      </c>
    </row>
    <row r="27" spans="1:7" x14ac:dyDescent="0.3">
      <c r="A27" t="s">
        <v>16</v>
      </c>
      <c r="B27" s="11" t="s">
        <v>60</v>
      </c>
      <c r="C27" s="11" t="s">
        <v>62</v>
      </c>
      <c r="D27" s="11">
        <v>1</v>
      </c>
      <c r="E27" s="12">
        <v>46121</v>
      </c>
      <c r="F27" s="11">
        <v>4</v>
      </c>
      <c r="G27" s="14">
        <v>75</v>
      </c>
    </row>
    <row r="28" spans="1:7" x14ac:dyDescent="0.3">
      <c r="A28" t="s">
        <v>16</v>
      </c>
      <c r="B28" s="11" t="s">
        <v>76</v>
      </c>
      <c r="C28" s="11" t="s">
        <v>77</v>
      </c>
      <c r="D28" s="11">
        <v>1</v>
      </c>
      <c r="E28" s="12">
        <v>46149</v>
      </c>
      <c r="F28" s="11">
        <v>5</v>
      </c>
      <c r="G28" s="14">
        <v>0</v>
      </c>
    </row>
    <row r="29" spans="1:7" x14ac:dyDescent="0.3">
      <c r="A29" t="s">
        <v>16</v>
      </c>
      <c r="B29" s="11" t="s">
        <v>76</v>
      </c>
      <c r="C29" s="11" t="s">
        <v>78</v>
      </c>
      <c r="D29" s="11">
        <v>1</v>
      </c>
      <c r="E29" s="12">
        <v>46149</v>
      </c>
      <c r="F29" s="11">
        <v>5</v>
      </c>
      <c r="G29" s="14">
        <v>0</v>
      </c>
    </row>
    <row r="30" spans="1:7" x14ac:dyDescent="0.3">
      <c r="A30" t="s">
        <v>16</v>
      </c>
      <c r="B30" s="11" t="s">
        <v>79</v>
      </c>
      <c r="C30" s="11" t="s">
        <v>80</v>
      </c>
      <c r="D30" s="11">
        <v>1</v>
      </c>
      <c r="E30" s="12">
        <v>46149</v>
      </c>
      <c r="F30" s="11">
        <v>5</v>
      </c>
      <c r="G30" s="14">
        <v>0</v>
      </c>
    </row>
    <row r="31" spans="1:7" x14ac:dyDescent="0.3">
      <c r="A31" t="s">
        <v>16</v>
      </c>
      <c r="B31" s="11" t="s">
        <v>79</v>
      </c>
      <c r="C31" s="11" t="s">
        <v>81</v>
      </c>
      <c r="D31" s="11">
        <v>1</v>
      </c>
      <c r="E31" s="12">
        <v>46149</v>
      </c>
      <c r="F31" s="11">
        <v>5</v>
      </c>
      <c r="G31" s="14">
        <v>75</v>
      </c>
    </row>
    <row r="32" spans="1:7" x14ac:dyDescent="0.3">
      <c r="A32" t="s">
        <v>83</v>
      </c>
      <c r="B32" s="11" t="s">
        <v>68</v>
      </c>
      <c r="C32" s="11" t="s">
        <v>84</v>
      </c>
      <c r="D32" s="11">
        <v>10</v>
      </c>
      <c r="E32" s="12">
        <v>46188</v>
      </c>
      <c r="F32" s="11" t="s">
        <v>84</v>
      </c>
      <c r="G32" s="14">
        <v>7.7</v>
      </c>
    </row>
    <row r="33" spans="1:7" x14ac:dyDescent="0.3">
      <c r="A33" t="s">
        <v>83</v>
      </c>
      <c r="B33" s="11" t="s">
        <v>69</v>
      </c>
      <c r="C33" s="11" t="s">
        <v>84</v>
      </c>
      <c r="D33" s="11">
        <v>10</v>
      </c>
      <c r="E33" s="12">
        <v>46188</v>
      </c>
      <c r="F33" s="11" t="s">
        <v>84</v>
      </c>
      <c r="G33" s="14">
        <v>7.7</v>
      </c>
    </row>
    <row r="34" spans="1:7" x14ac:dyDescent="0.3">
      <c r="A34" t="s">
        <v>83</v>
      </c>
      <c r="B34" s="11" t="s">
        <v>70</v>
      </c>
      <c r="C34" s="11" t="s">
        <v>84</v>
      </c>
      <c r="D34" s="11">
        <v>10</v>
      </c>
      <c r="E34" s="12">
        <v>46188</v>
      </c>
      <c r="F34" s="11" t="s">
        <v>84</v>
      </c>
      <c r="G34" s="14">
        <v>7.7</v>
      </c>
    </row>
    <row r="35" spans="1:7" x14ac:dyDescent="0.3">
      <c r="A35" t="s">
        <v>82</v>
      </c>
      <c r="B35" s="11" t="s">
        <v>71</v>
      </c>
      <c r="C35" s="11" t="s">
        <v>84</v>
      </c>
      <c r="D35" s="11">
        <v>5</v>
      </c>
      <c r="E35" s="12">
        <v>46188</v>
      </c>
      <c r="F35" s="11" t="s">
        <v>84</v>
      </c>
      <c r="G35" s="14">
        <v>3.85</v>
      </c>
    </row>
    <row r="36" spans="1:7" x14ac:dyDescent="0.3">
      <c r="A36" t="s">
        <v>83</v>
      </c>
      <c r="B36" s="11" t="s">
        <v>72</v>
      </c>
      <c r="C36" s="11" t="s">
        <v>84</v>
      </c>
      <c r="D36" s="11">
        <v>10</v>
      </c>
      <c r="E36" s="12">
        <v>46188</v>
      </c>
      <c r="F36" s="11" t="s">
        <v>84</v>
      </c>
      <c r="G36" s="14">
        <v>7.7</v>
      </c>
    </row>
    <row r="37" spans="1:7" x14ac:dyDescent="0.3">
      <c r="A37" t="s">
        <v>83</v>
      </c>
      <c r="B37" s="11" t="s">
        <v>73</v>
      </c>
      <c r="C37" s="11" t="s">
        <v>84</v>
      </c>
      <c r="D37" s="11">
        <v>10</v>
      </c>
      <c r="E37" s="12">
        <v>46188</v>
      </c>
      <c r="F37" s="11" t="s">
        <v>84</v>
      </c>
      <c r="G37" s="14">
        <v>7.7</v>
      </c>
    </row>
    <row r="38" spans="1:7" x14ac:dyDescent="0.3">
      <c r="A38" t="s">
        <v>83</v>
      </c>
      <c r="B38" s="11" t="s">
        <v>74</v>
      </c>
      <c r="C38" s="11" t="s">
        <v>84</v>
      </c>
      <c r="D38" s="11">
        <v>10</v>
      </c>
      <c r="E38" s="12">
        <v>46188</v>
      </c>
      <c r="F38" s="11" t="s">
        <v>84</v>
      </c>
      <c r="G38" s="14">
        <v>7.7</v>
      </c>
    </row>
    <row r="39" spans="1:7" x14ac:dyDescent="0.3">
      <c r="A39" t="s">
        <v>83</v>
      </c>
      <c r="B39" s="11" t="s">
        <v>75</v>
      </c>
      <c r="C39" s="11" t="s">
        <v>84</v>
      </c>
      <c r="D39" s="11">
        <v>10</v>
      </c>
      <c r="E39" s="12">
        <v>46188</v>
      </c>
      <c r="F39" s="11" t="s">
        <v>84</v>
      </c>
      <c r="G39" s="14">
        <v>7.7</v>
      </c>
    </row>
    <row r="40" spans="1:7" x14ac:dyDescent="0.3">
      <c r="E40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</vt:lpstr>
      <vt:lpstr>Line 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Shaw</dc:creator>
  <cp:lastModifiedBy>Matt Shaw</cp:lastModifiedBy>
  <dcterms:created xsi:type="dcterms:W3CDTF">2026-07-10T12:30:59Z</dcterms:created>
  <dcterms:modified xsi:type="dcterms:W3CDTF">2026-07-10T14:27:26Z</dcterms:modified>
</cp:coreProperties>
</file>