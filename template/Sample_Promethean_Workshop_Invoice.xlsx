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tt.shaw\Desktop\"/>
    </mc:Choice>
  </mc:AlternateContent>
  <xr:revisionPtr revIDLastSave="0" documentId="8_{BEF2D71F-5E0B-41DA-94E6-43F45EFE444F}" xr6:coauthVersionLast="47" xr6:coauthVersionMax="47" xr10:uidLastSave="{00000000-0000-0000-0000-000000000000}"/>
  <bookViews>
    <workbookView xWindow="-96" yWindow="0" windowWidth="17472" windowHeight="20976" firstSheet="1" activeTab="3" xr2:uid="{00000000-000D-0000-FFFF-FFFF00000000}"/>
  </bookViews>
  <sheets>
    <sheet name="Breakdown" sheetId="1" r:id="rId1"/>
    <sheet name="Depot Repair" sheetId="2" r:id="rId2"/>
    <sheet name="Triage Units" sheetId="3" r:id="rId3"/>
    <sheet name="Part Testing &amp; Programming" sheetId="4" r:id="rId4"/>
  </sheets>
  <definedNames>
    <definedName name="_xlnm.Print_Area" localSheetId="0">Breakdown!$A$1:$E$32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E31" i="1"/>
  <c r="D29" i="1"/>
  <c r="E29" i="1" s="1"/>
  <c r="D28" i="1"/>
  <c r="E28" i="1" s="1"/>
  <c r="E26" i="1"/>
  <c r="D24" i="1"/>
  <c r="E24" i="1" s="1"/>
  <c r="D23" i="1"/>
  <c r="E23" i="1" s="1"/>
  <c r="D22" i="1"/>
  <c r="E22" i="1" s="1"/>
  <c r="D21" i="1"/>
  <c r="E21" i="1" s="1"/>
  <c r="D19" i="1"/>
  <c r="E19" i="1" s="1"/>
  <c r="D18" i="1"/>
  <c r="E18" i="1" s="1"/>
  <c r="D17" i="1"/>
  <c r="E17" i="1" s="1"/>
  <c r="D16" i="1"/>
  <c r="E16" i="1" s="1"/>
  <c r="D14" i="1"/>
  <c r="E14" i="1" s="1"/>
  <c r="D13" i="1"/>
  <c r="E13" i="1" s="1"/>
  <c r="D12" i="1"/>
  <c r="E12" i="1" s="1"/>
  <c r="D11" i="1"/>
  <c r="E11" i="1" s="1"/>
  <c r="A8" i="1"/>
  <c r="E45" i="1" l="1"/>
  <c r="E46" i="1" s="1"/>
  <c r="E47" i="1" s="1"/>
</calcChain>
</file>

<file path=xl/sharedStrings.xml><?xml version="1.0" encoding="utf-8"?>
<sst xmlns="http://schemas.openxmlformats.org/spreadsheetml/2006/main" count="2808" uniqueCount="814">
  <si>
    <t>9145 Ellis Road</t>
  </si>
  <si>
    <t>Call ID:</t>
  </si>
  <si>
    <t>Melbourne, FL 32904</t>
  </si>
  <si>
    <t>Currency:</t>
  </si>
  <si>
    <t>USD</t>
  </si>
  <si>
    <t>www.ussiglobal.com</t>
  </si>
  <si>
    <t>Invoice Date:</t>
  </si>
  <si>
    <t>Completed Date:</t>
  </si>
  <si>
    <t>Customer:</t>
  </si>
  <si>
    <t>Promethean</t>
  </si>
  <si>
    <t>Terms:</t>
  </si>
  <si>
    <t>Net Amt Due in 45</t>
  </si>
  <si>
    <t>Workshop</t>
  </si>
  <si>
    <t>Units of Measure</t>
  </si>
  <si>
    <t>Unit Price</t>
  </si>
  <si>
    <t>Quantity</t>
  </si>
  <si>
    <t>Total Amount</t>
  </si>
  <si>
    <t>Standard ‘Basic’ Panel Triage &amp; Repair Small (65”-75”)</t>
  </si>
  <si>
    <t>Each</t>
  </si>
  <si>
    <t>Standard ‘Basic’ Panel Triage &amp; Repair Large (86”)</t>
  </si>
  <si>
    <t>Advanced ‘Heavy’ Panel Triage &amp; Repairs Small (65”-75”)</t>
  </si>
  <si>
    <t>Advanced ‘Heavy’ Panel Triage &amp; Repairs Large (86”)</t>
  </si>
  <si>
    <t>Standard ‘Basic’ Panel Triage Small (65”-75”)</t>
  </si>
  <si>
    <t>Standard ‘Basic’ Panel Triage Large (86”)</t>
  </si>
  <si>
    <t>Advanced ‘Heavy’ Panel Triage Small (65”-75”)</t>
  </si>
  <si>
    <t>Advanced ‘Heavy’ Panel Triage Large (86”)</t>
  </si>
  <si>
    <t>Standard ‘Basic’ Panel Repair Small (65”-75”)</t>
  </si>
  <si>
    <t>Standard ‘Basic’ Panel Repair Large (86”)</t>
  </si>
  <si>
    <t>Advanced ‘Heavy’ Panel Repair Small (65”-75”)</t>
  </si>
  <si>
    <t>Advanced ‘Heavy’ Panel Repair Large (86”)</t>
  </si>
  <si>
    <t>Reboxing Fee</t>
  </si>
  <si>
    <t>Immediate Scrap</t>
  </si>
  <si>
    <t>Salvage of Hardware and Scrap</t>
  </si>
  <si>
    <t>Special Warehouse Projects</t>
  </si>
  <si>
    <t>Hourly</t>
  </si>
  <si>
    <t>Subtotal</t>
  </si>
  <si>
    <t>Tax</t>
  </si>
  <si>
    <t>Total</t>
  </si>
  <si>
    <t>Model</t>
  </si>
  <si>
    <t>Serial</t>
  </si>
  <si>
    <t>Type</t>
  </si>
  <si>
    <t>Size</t>
  </si>
  <si>
    <t>Repair Cost</t>
  </si>
  <si>
    <t>Parts Summary</t>
  </si>
  <si>
    <t>AP10-A86-NA-R</t>
  </si>
  <si>
    <t>AA862Q310AB0090025</t>
  </si>
  <si>
    <t>Basic</t>
  </si>
  <si>
    <t>Large</t>
  </si>
  <si>
    <t>PSU Replaced</t>
  </si>
  <si>
    <t>AP10-B86-NA-R</t>
  </si>
  <si>
    <t>AB863P521MC25A0058</t>
  </si>
  <si>
    <t>Mainboard Replaced</t>
  </si>
  <si>
    <t>AB861PC49TC88B0056</t>
  </si>
  <si>
    <t>AP7-B86-02-NA-R</t>
  </si>
  <si>
    <t>786T-M46LFA6251160</t>
  </si>
  <si>
    <t>Maintouch PCA Replaced</t>
  </si>
  <si>
    <t>AP7-B86-NA-R</t>
  </si>
  <si>
    <t>786T-KC2LFA7560083</t>
  </si>
  <si>
    <t>Maintouch PCA, PSU Replaced</t>
  </si>
  <si>
    <t>AP7-U86-02-NA-R</t>
  </si>
  <si>
    <t>86W26-M1HLDN4010101</t>
  </si>
  <si>
    <t>86W26-M5HLDN8090151</t>
  </si>
  <si>
    <t>AP9-A86-NA-R</t>
  </si>
  <si>
    <t>9A863M834K21060093</t>
  </si>
  <si>
    <t>Backlight Tape</t>
  </si>
  <si>
    <t>9A862N730VB04A0033</t>
  </si>
  <si>
    <t>AP9-B86-NA-R</t>
  </si>
  <si>
    <t>9B86BN521TB84A0034</t>
  </si>
  <si>
    <t>9B86GP834MC58A0030</t>
  </si>
  <si>
    <t>9B86BN522TB93A0030</t>
  </si>
  <si>
    <t>9B863M835T161B0005</t>
  </si>
  <si>
    <t>APLX-86-NA-R</t>
  </si>
  <si>
    <t>LX861N414KL0140018</t>
  </si>
  <si>
    <t>AP10-A65-NA-R</t>
  </si>
  <si>
    <t>AA651PC52AB0350001</t>
  </si>
  <si>
    <t>Small</t>
  </si>
  <si>
    <t>AP10-A75-NA-R</t>
  </si>
  <si>
    <t>AA752Q310AB0170042</t>
  </si>
  <si>
    <t>AP10-B65-NA-R</t>
  </si>
  <si>
    <t>AB653Q937MC90A0097</t>
  </si>
  <si>
    <t>AP10-B75-NA-R</t>
  </si>
  <si>
    <t>AB751P208MC66A0151</t>
  </si>
  <si>
    <t>AB752P519MC20A0128</t>
  </si>
  <si>
    <t>AP7-B70-02-NA-R</t>
  </si>
  <si>
    <t>770T-LA6XBA1210461</t>
  </si>
  <si>
    <t>770T-M16XCA0020660</t>
  </si>
  <si>
    <t>770T-M26XDA1920451</t>
  </si>
  <si>
    <t>Tcon Replaced</t>
  </si>
  <si>
    <t>770T-L66X4A7070004</t>
  </si>
  <si>
    <t>Mainboard, Tcon, OPS-PCA Replaced</t>
  </si>
  <si>
    <t>AP7-B75-02-NA-R</t>
  </si>
  <si>
    <t>775T-M56BFA8150967</t>
  </si>
  <si>
    <t>775T-M56BFA8150003</t>
  </si>
  <si>
    <t>Mainboard, PSU, Maintouch PCA Replaced</t>
  </si>
  <si>
    <t>775T-L12B1A7460142</t>
  </si>
  <si>
    <t>775T-LA6BCA7521229</t>
  </si>
  <si>
    <t>775T-M16BCA0060115</t>
  </si>
  <si>
    <t>775T-L66B4A3810571</t>
  </si>
  <si>
    <t>775T-LB6BCA5620375</t>
  </si>
  <si>
    <t>775T-M16BDA1180223</t>
  </si>
  <si>
    <t>775T-L32B3A8750548</t>
  </si>
  <si>
    <t>Mainboard, PSU Replaced</t>
  </si>
  <si>
    <t>775T-L42L3A5310090</t>
  </si>
  <si>
    <t>775T-M56BFA7510946</t>
  </si>
  <si>
    <t>775T-LC6LCA9520294</t>
  </si>
  <si>
    <t>Touchset Replaced</t>
  </si>
  <si>
    <t>775T-LA6BCA7520140</t>
  </si>
  <si>
    <t>775T-LA6BBA7470183</t>
  </si>
  <si>
    <t>775T-M16BCA9130234</t>
  </si>
  <si>
    <t>Mainboard, Maintouch PCA Replaced</t>
  </si>
  <si>
    <t>775T-L32B3A8620589</t>
  </si>
  <si>
    <t>775T-M56BFA7810108</t>
  </si>
  <si>
    <t>775T-L32B3A8620175</t>
  </si>
  <si>
    <t>775T-M16BCA0060788</t>
  </si>
  <si>
    <t>External Input Replaced</t>
  </si>
  <si>
    <t>775T-M26BDA2290573</t>
  </si>
  <si>
    <t>775T-M26BDA1810946</t>
  </si>
  <si>
    <t>775T-M36BDA3790436</t>
  </si>
  <si>
    <t>775T-L32B3A7380184</t>
  </si>
  <si>
    <t>775t-L96BBA7490859</t>
  </si>
  <si>
    <t>775T-M26BDA1910756</t>
  </si>
  <si>
    <t>775T-L76B4A1130327</t>
  </si>
  <si>
    <t>PSU, Maintouch Replaced</t>
  </si>
  <si>
    <t>775T-LC6BCA7480610</t>
  </si>
  <si>
    <t>Maintouch, Mainboard Replaced</t>
  </si>
  <si>
    <t>775T-M36BDA2710376</t>
  </si>
  <si>
    <t>Backlight Tape, FFC Cables</t>
  </si>
  <si>
    <t>AP7-B75-NA-R</t>
  </si>
  <si>
    <t>775T-KC2LFA8830009</t>
  </si>
  <si>
    <t>775T-K42L3A0590066</t>
  </si>
  <si>
    <t>AP7-U65-02-NA-R</t>
  </si>
  <si>
    <t>65W26-L3HL3N4810189</t>
  </si>
  <si>
    <t>65W26-M2HBEN0160177</t>
  </si>
  <si>
    <t>65W26-M8HBGN1250270</t>
  </si>
  <si>
    <t>65W26-M4HLEN3450152</t>
  </si>
  <si>
    <t>Maintouch FFC Replaced</t>
  </si>
  <si>
    <t>AP7-U75-02-NA-R</t>
  </si>
  <si>
    <t>75W26-M8HBGN0060214</t>
  </si>
  <si>
    <t>AP7-U75-NA-R</t>
  </si>
  <si>
    <t>75W26-KAHLDN0220161</t>
  </si>
  <si>
    <t>AP9-A75-NA-R</t>
  </si>
  <si>
    <t>9A758MC53KB1110407</t>
  </si>
  <si>
    <t>9A75AN309KB0790474</t>
  </si>
  <si>
    <t>9A752M626K20500076</t>
  </si>
  <si>
    <t>Mainboard, Tcon Replaced</t>
  </si>
  <si>
    <t>9A752M625K20170147</t>
  </si>
  <si>
    <t>PSU, External Input Replaced</t>
  </si>
  <si>
    <t>9A752M626K20500027</t>
  </si>
  <si>
    <t>9A752M623K21350578</t>
  </si>
  <si>
    <t>9A756M939K20500035</t>
  </si>
  <si>
    <t>9A756MB47K20490268</t>
  </si>
  <si>
    <t>9A752M627K20731110</t>
  </si>
  <si>
    <t>9A75GP727AB0170081</t>
  </si>
  <si>
    <t>9A756MA44K20170565</t>
  </si>
  <si>
    <t>9A75BN416KB0600088</t>
  </si>
  <si>
    <t>9A754M833K20100501</t>
  </si>
  <si>
    <t>9A754M833K20100098</t>
  </si>
  <si>
    <t>9A75BN413KB0210444</t>
  </si>
  <si>
    <t>9A752M728K20470378</t>
  </si>
  <si>
    <t>9A752M625K20170224</t>
  </si>
  <si>
    <t>Debris Beneath Screen, Backlight Tape</t>
  </si>
  <si>
    <t>9A752M626K20500091</t>
  </si>
  <si>
    <t>Maintouch Replaced</t>
  </si>
  <si>
    <t>9A754M833K20100084</t>
  </si>
  <si>
    <t>9A756MA42K20010231</t>
  </si>
  <si>
    <t>9A754M835K20010275</t>
  </si>
  <si>
    <t>OPS-PCA Replaced</t>
  </si>
  <si>
    <t>9A752M727K20870407</t>
  </si>
  <si>
    <t>9A75AN311KB0190169</t>
  </si>
  <si>
    <t>AP9-A75-V-NA-R</t>
  </si>
  <si>
    <t>9A755P521VB75A0036</t>
  </si>
  <si>
    <t>AP9-B75-02-NA-R</t>
  </si>
  <si>
    <t>9B75GP731MB39A0100</t>
  </si>
  <si>
    <t>9B75GP835MB72A0114</t>
  </si>
  <si>
    <t>9B75GP730MB30A0103</t>
  </si>
  <si>
    <t>AP9-B75-NA-R</t>
  </si>
  <si>
    <t>9B756MC50T120A0017</t>
  </si>
  <si>
    <t>Mic Array Replaced</t>
  </si>
  <si>
    <t>9B75EP103TB86A0022</t>
  </si>
  <si>
    <t>9B75DN731TB07A0054</t>
  </si>
  <si>
    <t>9B752M731T116A0073</t>
  </si>
  <si>
    <t>9B756MC50T110A0070</t>
  </si>
  <si>
    <t>9B754M833T113A0039</t>
  </si>
  <si>
    <t>9B75BN519TB70A0022</t>
  </si>
  <si>
    <t>9B752M522T182A0055</t>
  </si>
  <si>
    <t>Mainboad Replaced</t>
  </si>
  <si>
    <t>APLE-75-NA-R</t>
  </si>
  <si>
    <t>BE751Q833MC71A0079</t>
  </si>
  <si>
    <t>Mainboard Replaed</t>
  </si>
  <si>
    <t>BE752QC49MC62A0021</t>
  </si>
  <si>
    <t>APLX-75-NA-R</t>
  </si>
  <si>
    <t>LX757Q520AB0190055</t>
  </si>
  <si>
    <t>LX751N416KB0980055</t>
  </si>
  <si>
    <t>LX754NA42AB0060008</t>
  </si>
  <si>
    <t>LX754NA42AB0080019</t>
  </si>
  <si>
    <t>LX754NA42AB0100087</t>
  </si>
  <si>
    <t>9A861M625K20190131</t>
  </si>
  <si>
    <t>BasicLarge - Previously Triaged</t>
  </si>
  <si>
    <t>Maintouch PCA, Bezel Brackets Replaced</t>
  </si>
  <si>
    <t>9A752M627K20730762</t>
  </si>
  <si>
    <t>BasicSmall - Previously Triaged</t>
  </si>
  <si>
    <t>786T-L32L3A5370102</t>
  </si>
  <si>
    <t>Heavy</t>
  </si>
  <si>
    <t>LCD, Tcon Replaced</t>
  </si>
  <si>
    <t>786T-M56LFA7070147</t>
  </si>
  <si>
    <t>LCD Replaced</t>
  </si>
  <si>
    <t>786T-L32L3A5370130</t>
  </si>
  <si>
    <t>786T-KC2LFA7560016</t>
  </si>
  <si>
    <t>786T-J82L3A9810070</t>
  </si>
  <si>
    <t>9A866P939VC87A0005</t>
  </si>
  <si>
    <t>LCM Replaced</t>
  </si>
  <si>
    <t>9A861M627K20560087</t>
  </si>
  <si>
    <t>Retape Deflector Sheet</t>
  </si>
  <si>
    <t>9A862N833VB38A0013</t>
  </si>
  <si>
    <t>9A862N833VB38A0009</t>
  </si>
  <si>
    <t>9A863M833K20870238</t>
  </si>
  <si>
    <t>LCD Replaced, Retaped Deflector Sheet</t>
  </si>
  <si>
    <t>9A861M731K20780234</t>
  </si>
  <si>
    <t>Mainboard Replaced, Retaped Deflector Sheet</t>
  </si>
  <si>
    <t>9A861M730K20550356</t>
  </si>
  <si>
    <t>Retaped Deflector Sheet</t>
  </si>
  <si>
    <t>9B86DN729TB11A0027</t>
  </si>
  <si>
    <t>9B86DN836TB83A0029</t>
  </si>
  <si>
    <t>9B865MB48T127A0022</t>
  </si>
  <si>
    <t>9B861M624T105B0018</t>
  </si>
  <si>
    <t>9B86BN520TB89A0047</t>
  </si>
  <si>
    <t>9B861M418T194B0020</t>
  </si>
  <si>
    <t>9B86BN521TB82A0027</t>
  </si>
  <si>
    <t>9B861M522T196B0006</t>
  </si>
  <si>
    <t>9B86EP102TB63A0006</t>
  </si>
  <si>
    <t>9B861M522T196B0009</t>
  </si>
  <si>
    <t>LCM, PSU Replaced</t>
  </si>
  <si>
    <t>9B867MC52T137A0010</t>
  </si>
  <si>
    <t>9B86GP831MC53A0045</t>
  </si>
  <si>
    <t>775T-M26BDA1820070</t>
  </si>
  <si>
    <t>775T-L76B4A4290418</t>
  </si>
  <si>
    <t>75W26-M4HBEN3510070</t>
  </si>
  <si>
    <t>AP9-A65-NA-R</t>
  </si>
  <si>
    <t>9A652M625K20240319</t>
  </si>
  <si>
    <t>Replaced Speakers, External Input, Retaped Deflector Sheet</t>
  </si>
  <si>
    <t>9A752M625K20170134</t>
  </si>
  <si>
    <t>9A758MC53KB1110209</t>
  </si>
  <si>
    <t>9A752M625K20170124</t>
  </si>
  <si>
    <t>9A752M727K20870031</t>
  </si>
  <si>
    <t>9A754M833K20100097</t>
  </si>
  <si>
    <t>9A754M835K20010369</t>
  </si>
  <si>
    <t>9A752M728K20470218</t>
  </si>
  <si>
    <t>9A754M835K20010139</t>
  </si>
  <si>
    <t>9A758MC52K20150402</t>
  </si>
  <si>
    <t>9A758MC53KB1110163</t>
  </si>
  <si>
    <t>9A754M833K20100068</t>
  </si>
  <si>
    <t>9A758MC53KB1140028</t>
  </si>
  <si>
    <t>9A756MA44K20160046</t>
  </si>
  <si>
    <t>9A75AN311KB0190083</t>
  </si>
  <si>
    <t>9A75AN309KB0790025</t>
  </si>
  <si>
    <t>9A752M728K20470661</t>
  </si>
  <si>
    <t>9A752M626K20500712</t>
  </si>
  <si>
    <t>9A754M835K20010379</t>
  </si>
  <si>
    <t>9A756MA42K20010055</t>
  </si>
  <si>
    <t>9A758MB49K20500420</t>
  </si>
  <si>
    <t>9A756M939K20500095</t>
  </si>
  <si>
    <t>9A752M729K20560346</t>
  </si>
  <si>
    <t>9A758MC53KB1110419</t>
  </si>
  <si>
    <t>LCD, Mainboard, Backlight</t>
  </si>
  <si>
    <t>9A752M728K20470364</t>
  </si>
  <si>
    <t>9A75AN206KB0050251</t>
  </si>
  <si>
    <t>9A752M626K20500658</t>
  </si>
  <si>
    <t>9A758N101KB0010333</t>
  </si>
  <si>
    <t>9A758MC52K20150139</t>
  </si>
  <si>
    <t>9A758MC52K20150306</t>
  </si>
  <si>
    <t>9A756MA42K20150124</t>
  </si>
  <si>
    <t>9A758MC52K20150313</t>
  </si>
  <si>
    <t>AP9-B65-NA-R</t>
  </si>
  <si>
    <t>9B655M937T104A0025</t>
  </si>
  <si>
    <t>786T-L12L1A3680059</t>
  </si>
  <si>
    <t>HeavyLarge - Previously Triaged</t>
  </si>
  <si>
    <t>786T-M46LFA6610658</t>
  </si>
  <si>
    <t>786T-L96LBA7580118</t>
  </si>
  <si>
    <t>LCM, Mainboard, Maintouch PCA Replaced</t>
  </si>
  <si>
    <t>786T-L86L4A0010605</t>
  </si>
  <si>
    <t>PSU Replaced, Retaped Deflector Sheet</t>
  </si>
  <si>
    <t>9A862NA42VB64A0038</t>
  </si>
  <si>
    <t>9A861M730K20550131</t>
  </si>
  <si>
    <t>9A861M625K20190007</t>
  </si>
  <si>
    <t>9B86DN834TB82A0025</t>
  </si>
  <si>
    <t>LCM, Maintouch PCA Replaced</t>
  </si>
  <si>
    <t>9B861M625T116B0020</t>
  </si>
  <si>
    <t>9B865MB48T127A0013</t>
  </si>
  <si>
    <t>AA753Q625AB0060046</t>
  </si>
  <si>
    <t>HeavySmall - Previously Triaged</t>
  </si>
  <si>
    <t>AB654R102MC70A0045</t>
  </si>
  <si>
    <t>Overlay Replaced</t>
  </si>
  <si>
    <t>775T-L32B3A7390264</t>
  </si>
  <si>
    <t>9A758MC53KB1140290</t>
  </si>
  <si>
    <t>9A752M627K20730481</t>
  </si>
  <si>
    <t>9A756MA44K20160090</t>
  </si>
  <si>
    <t>9A758MC53KB1110132</t>
  </si>
  <si>
    <t>9A752M729K20560780</t>
  </si>
  <si>
    <t>LCD, OPS-PCA Replaced, Retaped Deflector Sheet</t>
  </si>
  <si>
    <t>9A754M938K20470002</t>
  </si>
  <si>
    <t>9A758MC53KB1110051</t>
  </si>
  <si>
    <t>9A758MC53KB1110083</t>
  </si>
  <si>
    <t>9A754M833K20100104</t>
  </si>
  <si>
    <t>LCD, Mainboard, Maintouch PCA, FFC Replaced</t>
  </si>
  <si>
    <t>9A752M626K20500022</t>
  </si>
  <si>
    <t>9A754M833K20100546</t>
  </si>
  <si>
    <t>9A756M939K20160185</t>
  </si>
  <si>
    <t>9A754M835K21350439</t>
  </si>
  <si>
    <t>9A75BN416KB1160056</t>
  </si>
  <si>
    <t>LCD, Mainboard, Tcon Replaced</t>
  </si>
  <si>
    <t>786T-M56LFA8140255</t>
  </si>
  <si>
    <t>Harvested: Physical Damage</t>
  </si>
  <si>
    <t>786T-M36LDA3450115</t>
  </si>
  <si>
    <t>786T-L76L4A4350207</t>
  </si>
  <si>
    <t>786T-LC6LCA5500480</t>
  </si>
  <si>
    <t>786T-M46LFA6250898</t>
  </si>
  <si>
    <t>786T-M46LFA6610200</t>
  </si>
  <si>
    <t>786T-L66L4A8710384</t>
  </si>
  <si>
    <t>786T-L96LBA7580463</t>
  </si>
  <si>
    <t>786T-L76L4A4540328</t>
  </si>
  <si>
    <t>786T-L12L1A0670112</t>
  </si>
  <si>
    <t>786T-M56LFA8140236</t>
  </si>
  <si>
    <t>786T-M36LDA3890162</t>
  </si>
  <si>
    <t>786T-M46LFA6540100</t>
  </si>
  <si>
    <t>786T-M16LCA0720034</t>
  </si>
  <si>
    <t>786T-LA6LCA7570004</t>
  </si>
  <si>
    <t>786T-K42L3A3380021</t>
  </si>
  <si>
    <t>786T-J72L3A0860154</t>
  </si>
  <si>
    <t>86W26-M4HLDN5320063</t>
  </si>
  <si>
    <t>86W26-M5HLDN8090290</t>
  </si>
  <si>
    <t>86W25-MAHLEN0530087</t>
  </si>
  <si>
    <t>86W25-MAHLEN0750102</t>
  </si>
  <si>
    <t>86W25-MAHLEN0750100</t>
  </si>
  <si>
    <t>86W25-MAHLEN0530212</t>
  </si>
  <si>
    <t>86W25-MAHLEN0530198</t>
  </si>
  <si>
    <t>86W25-MAHLEN0750103</t>
  </si>
  <si>
    <t>86W25-MAHLEN0530201</t>
  </si>
  <si>
    <t>86W25-MAHLEN0750105</t>
  </si>
  <si>
    <t>86W25-MAHLEN0530090</t>
  </si>
  <si>
    <t>AP7-U86-NA-R</t>
  </si>
  <si>
    <t>86W26-K4HL2N0760044</t>
  </si>
  <si>
    <t>AB651PC49TC88A0019</t>
  </si>
  <si>
    <t>770T-L56X4A7110403</t>
  </si>
  <si>
    <t>770T-L76X4A4200097</t>
  </si>
  <si>
    <t>770T-LB6XCA7380802</t>
  </si>
  <si>
    <t>770T-LB6XCA7430837</t>
  </si>
  <si>
    <t>770T-LB6XCA5460653</t>
  </si>
  <si>
    <t>770T-LB6XCA1960564</t>
  </si>
  <si>
    <t>AP7-B70-NA-R</t>
  </si>
  <si>
    <t>770T-K62X3A4790478</t>
  </si>
  <si>
    <t>770T-K62XDA8350235</t>
  </si>
  <si>
    <t>775T-M16BCA0060139</t>
  </si>
  <si>
    <t>775T-M16LDA1500605</t>
  </si>
  <si>
    <t>775T-L76U4A1260535</t>
  </si>
  <si>
    <t>775T-M46LFA5680078</t>
  </si>
  <si>
    <t>775T-L22B1A450253</t>
  </si>
  <si>
    <t>775T-L32B3A7380185</t>
  </si>
  <si>
    <t>775T-L4AU1A0080033</t>
  </si>
  <si>
    <t>775T-L66U4A0650104</t>
  </si>
  <si>
    <t>775T-LC6LCA9510227</t>
  </si>
  <si>
    <t>775T-M36BDA3790531</t>
  </si>
  <si>
    <t>775t-k92lea6430241</t>
  </si>
  <si>
    <t>775T-K62L3A1730054</t>
  </si>
  <si>
    <t>775T-J52U3A3450344</t>
  </si>
  <si>
    <t>775T-J52U3A3370340</t>
  </si>
  <si>
    <t>775T-KC2BFA0540434</t>
  </si>
  <si>
    <t>775T-K92LEA4620353</t>
  </si>
  <si>
    <t>775T-K92BEA0940189</t>
  </si>
  <si>
    <t>775T-KB2LEA7490238</t>
  </si>
  <si>
    <t>65W26-M5HLEN4960009</t>
  </si>
  <si>
    <t>65W26-L7HB6N2850142</t>
  </si>
  <si>
    <t>65W26-M4HLEN3390033</t>
  </si>
  <si>
    <t>65W26-M6HLEN4430187</t>
  </si>
  <si>
    <t>65W26-L6HL5N2990396</t>
  </si>
  <si>
    <t>AP7-U65-NA-R</t>
  </si>
  <si>
    <t>65W26-JBHL1N0060115</t>
  </si>
  <si>
    <t>75W26-LBHBAN6440050</t>
  </si>
  <si>
    <t>9A752M727K20870478</t>
  </si>
  <si>
    <t>Triage</t>
  </si>
  <si>
    <t>Derived Type</t>
  </si>
  <si>
    <t>Cost</t>
  </si>
  <si>
    <t>9A861M625K20030093</t>
  </si>
  <si>
    <t>Pending Digitizer</t>
  </si>
  <si>
    <t>BasicLarge-Triage</t>
  </si>
  <si>
    <t>9A862N833VB52A0017</t>
  </si>
  <si>
    <t>Pending Mainboard</t>
  </si>
  <si>
    <t>AA753Q625AB0050110</t>
  </si>
  <si>
    <t>Pending Maintouch PCA</t>
  </si>
  <si>
    <t>BasicSmall-Triage</t>
  </si>
  <si>
    <t>9A752NA43VB21A0053</t>
  </si>
  <si>
    <t>AA862Q310AB0120060</t>
  </si>
  <si>
    <t>Pending LCD</t>
  </si>
  <si>
    <t>HeavyLarge-Triage</t>
  </si>
  <si>
    <t>AB861P208MC57A0014</t>
  </si>
  <si>
    <t>Pending LCM</t>
  </si>
  <si>
    <t>AB861P312MC78A0050</t>
  </si>
  <si>
    <t>9A861M730K20550149</t>
  </si>
  <si>
    <t>Pending Overlay</t>
  </si>
  <si>
    <t>9A861M523K21360389</t>
  </si>
  <si>
    <t>9A861M728K20530158</t>
  </si>
  <si>
    <t>9A861M731K20780409</t>
  </si>
  <si>
    <t>9A861M625K20190279</t>
  </si>
  <si>
    <t>9A863M833K20870258</t>
  </si>
  <si>
    <t>9A861M521K21260085</t>
  </si>
  <si>
    <t>9A861M731K20780025</t>
  </si>
  <si>
    <t>LX861N414KL1340011</t>
  </si>
  <si>
    <t>AA751PC53AB0510088</t>
  </si>
  <si>
    <t>HeavySmall-Triage</t>
  </si>
  <si>
    <t>AA751PC50AB0220007</t>
  </si>
  <si>
    <t>Pending Overlay and Rear Cover</t>
  </si>
  <si>
    <t>AB753QA42MC30A0101</t>
  </si>
  <si>
    <t>AB753QA42MC28A0127</t>
  </si>
  <si>
    <t>775T-M56BFA7090812</t>
  </si>
  <si>
    <t>775T-L56B4A8770113</t>
  </si>
  <si>
    <t>775T-L76B4A4310981</t>
  </si>
  <si>
    <t>775T-L32B3A8610546</t>
  </si>
  <si>
    <t>775T-L42B3A3790079</t>
  </si>
  <si>
    <t>775T-M56BFA7080008</t>
  </si>
  <si>
    <t>775T-LA6BCA7521157</t>
  </si>
  <si>
    <t>775T-M56BFA8280649</t>
  </si>
  <si>
    <t>775T-L42B3A8730646</t>
  </si>
  <si>
    <t>775T-L32B3A8610579</t>
  </si>
  <si>
    <t>775T-L42B3A8730331</t>
  </si>
  <si>
    <t>775T-M26BDA2280654</t>
  </si>
  <si>
    <t>775T-L76B4A4310932</t>
  </si>
  <si>
    <t>775T-L66B4A3800580</t>
  </si>
  <si>
    <t>775T-L76B4A4310896</t>
  </si>
  <si>
    <t>775T-L66U4A0670013</t>
  </si>
  <si>
    <t>775T-M26BDA1810634</t>
  </si>
  <si>
    <t>775T-M36BDA3790517</t>
  </si>
  <si>
    <t>775T-L66B4A3840164</t>
  </si>
  <si>
    <t>775T-LA6BCA7510293</t>
  </si>
  <si>
    <t>775T-L96BCA9950638</t>
  </si>
  <si>
    <t>775T-L22B1A7360370</t>
  </si>
  <si>
    <t>775T-L32B3A8620648</t>
  </si>
  <si>
    <t>775T-L86B4A9750423</t>
  </si>
  <si>
    <t>775T-M56BFA7080088</t>
  </si>
  <si>
    <t>775T-L76U4A1260446</t>
  </si>
  <si>
    <t>775T-L32B3A8750465</t>
  </si>
  <si>
    <t>775T-L96BBA7490516</t>
  </si>
  <si>
    <t>Pendign LCD</t>
  </si>
  <si>
    <t>775T-L56B4A8770067</t>
  </si>
  <si>
    <t>775T-L86B4A9750532</t>
  </si>
  <si>
    <t>775T-J42U3A3160189</t>
  </si>
  <si>
    <t>775T-J72U3A4340159</t>
  </si>
  <si>
    <t>75W26-M3HBEN0730188</t>
  </si>
  <si>
    <t>75W26-M3HBEN1310331</t>
  </si>
  <si>
    <t>75W26-M1HBEN2340211</t>
  </si>
  <si>
    <t>75W26-M7HBFN8140124</t>
  </si>
  <si>
    <t>9A756M939K20490049</t>
  </si>
  <si>
    <t>9A752M729K20560334</t>
  </si>
  <si>
    <t>9A758MC53KB1140098</t>
  </si>
  <si>
    <t>9A754M836K22810038</t>
  </si>
  <si>
    <t>9A752M728K20470275</t>
  </si>
  <si>
    <t>9A758MC49K20520110</t>
  </si>
  <si>
    <t>9A75AN309KB0790390</t>
  </si>
  <si>
    <t>9A75AN208KB0610213</t>
  </si>
  <si>
    <t>9A758MC52K20070082</t>
  </si>
  <si>
    <t>9A75BN416KB0600374</t>
  </si>
  <si>
    <t>9A752M727K20870596</t>
  </si>
  <si>
    <t>9A758N101KB0010231</t>
  </si>
  <si>
    <t>9A754M833K20070068</t>
  </si>
  <si>
    <t>9A75BN416KB1160471</t>
  </si>
  <si>
    <t>9A756MB48K20470085</t>
  </si>
  <si>
    <t>9A752M627K20730141`</t>
  </si>
  <si>
    <t>9A756M939K20160324</t>
  </si>
  <si>
    <t>9A758N101KB0160307</t>
  </si>
  <si>
    <t>9A758MB49K20500458</t>
  </si>
  <si>
    <t>9A756MA44K20710281</t>
  </si>
  <si>
    <t>9A752M625K20170256</t>
  </si>
  <si>
    <t>9A758MC53KB1140018</t>
  </si>
  <si>
    <t>9A758MC53KB1140302</t>
  </si>
  <si>
    <t>9A75AN311KB0190228</t>
  </si>
  <si>
    <t>9A752M728K20470757</t>
  </si>
  <si>
    <t>9A758MC53KB1130356</t>
  </si>
  <si>
    <t>9A752NA44VB87A0030</t>
  </si>
  <si>
    <t>9A752N729VB03A0092</t>
  </si>
  <si>
    <t>9B75GP519TB86A0082</t>
  </si>
  <si>
    <t>9B756MB49T182A0049</t>
  </si>
  <si>
    <t>9B754M833T192A0035</t>
  </si>
  <si>
    <t>9B752M626T152A0113</t>
  </si>
  <si>
    <t>9B756MC51T119A0033</t>
  </si>
  <si>
    <t>9B752M522T171A0084</t>
  </si>
  <si>
    <t>9B754M937T102A0094</t>
  </si>
  <si>
    <t>9B752M523T183A0032</t>
  </si>
  <si>
    <t>9B75AN313TB74A0087</t>
  </si>
  <si>
    <t>9B75ENC53TB68A0038</t>
  </si>
  <si>
    <t>9B752M729T112A0040</t>
  </si>
  <si>
    <t>9B752M731T117A0085</t>
  </si>
  <si>
    <t>9B752M731T117A0003</t>
  </si>
  <si>
    <t>9B752M625T131A0016</t>
  </si>
  <si>
    <t>9B752M623T187A0058</t>
  </si>
  <si>
    <t>9B759N209T121A0008</t>
  </si>
  <si>
    <t>9B754M939T164A0061</t>
  </si>
  <si>
    <t>9B756MC51T194A0076</t>
  </si>
  <si>
    <t>9B752M731T117A0113</t>
  </si>
  <si>
    <t>9B754M937T101A0098</t>
  </si>
  <si>
    <t>Speaker Testing</t>
  </si>
  <si>
    <t>USB - Testing</t>
  </si>
  <si>
    <t>OPS-PCA - Testing</t>
  </si>
  <si>
    <t>Ext-Input - Testing</t>
  </si>
  <si>
    <t>Maintouch - Testing</t>
  </si>
  <si>
    <t>Keypad - Testing</t>
  </si>
  <si>
    <t>AC-PCA - Testing</t>
  </si>
  <si>
    <t>Mainboard - Testing</t>
  </si>
  <si>
    <t>Mainboard Configure for Dispatch - Testing</t>
  </si>
  <si>
    <t>PSU - Testing</t>
  </si>
  <si>
    <t>Parts Testing &amp; Configuration</t>
  </si>
  <si>
    <t>G256S212000025531</t>
  </si>
  <si>
    <t>USB</t>
  </si>
  <si>
    <t>OPS3-5P8R256S</t>
  </si>
  <si>
    <t>M00115244</t>
  </si>
  <si>
    <t>G256S212000026710</t>
  </si>
  <si>
    <t>M00115241</t>
  </si>
  <si>
    <t>G256S212000026502</t>
  </si>
  <si>
    <t>M00115221</t>
  </si>
  <si>
    <t>G256S200300009653</t>
  </si>
  <si>
    <t>OPS2-5P8R256S</t>
  </si>
  <si>
    <t>M00115013</t>
  </si>
  <si>
    <t>775T-L76U4A4230292</t>
  </si>
  <si>
    <t>Maintouch</t>
  </si>
  <si>
    <t>AP7B-75MAINTOUCHPCA</t>
  </si>
  <si>
    <t>M00115219</t>
  </si>
  <si>
    <t>770T-J42X3A4440274</t>
  </si>
  <si>
    <t>PSU</t>
  </si>
  <si>
    <t>AP7B-70PSU</t>
  </si>
  <si>
    <t>M00115227</t>
  </si>
  <si>
    <t>770T-J72X3A3430200</t>
  </si>
  <si>
    <t>M00115226</t>
  </si>
  <si>
    <t>H256S2535CT004506</t>
  </si>
  <si>
    <t>OPS4-7P16R256SV-WIN-NA</t>
  </si>
  <si>
    <t>M00115202</t>
  </si>
  <si>
    <t>AB753QA42MC29A0012</t>
  </si>
  <si>
    <t>ERCU1-NA-BOXED-1</t>
  </si>
  <si>
    <t>M00115200</t>
  </si>
  <si>
    <t>0WGBTFQI24328260</t>
  </si>
  <si>
    <t>CHRM3-CP8R256S</t>
  </si>
  <si>
    <t>M00114982</t>
  </si>
  <si>
    <t>9A752NA43VB85A0041</t>
  </si>
  <si>
    <t>OPS-PCA</t>
  </si>
  <si>
    <t>AP9A-OPS-PCA</t>
  </si>
  <si>
    <t>M00115214</t>
  </si>
  <si>
    <t>Mainboard Configure for Dispatch</t>
  </si>
  <si>
    <t>AP9A-MAINBOARD-V</t>
  </si>
  <si>
    <t>AA653Q728AB0140038</t>
  </si>
  <si>
    <t>EXT-INPUT</t>
  </si>
  <si>
    <t>AP10A-EXT-INPUT</t>
  </si>
  <si>
    <t>M00115201</t>
  </si>
  <si>
    <t>775T-M36LDA2970672</t>
  </si>
  <si>
    <t>AP7B-02-MAINBOARD</t>
  </si>
  <si>
    <t>M00115184</t>
  </si>
  <si>
    <t>G256S214400037007</t>
  </si>
  <si>
    <t>M00115178</t>
  </si>
  <si>
    <t>AB753QA40MC04A0178</t>
  </si>
  <si>
    <t>ERCU1-NA-BOXED</t>
  </si>
  <si>
    <t>M00115167</t>
  </si>
  <si>
    <t>9B75BN519TB05A0008</t>
  </si>
  <si>
    <t>AP9B-MAINBOARD</t>
  </si>
  <si>
    <t>M00115174</t>
  </si>
  <si>
    <t>9B75BN625TB68A0014</t>
  </si>
  <si>
    <t>M00115170</t>
  </si>
  <si>
    <t>AP9B-CONSOLE</t>
  </si>
  <si>
    <t>AC-PCA</t>
  </si>
  <si>
    <t>AP9B-AC-ASSY</t>
  </si>
  <si>
    <t>AP9B-75PSU</t>
  </si>
  <si>
    <t>770T-LB6XCA7380410</t>
  </si>
  <si>
    <t>M00115179</t>
  </si>
  <si>
    <t>A864225FC2700300176</t>
  </si>
  <si>
    <t>OPS-A2-8R64S</t>
  </si>
  <si>
    <t>M00115156</t>
  </si>
  <si>
    <t>9B75GP521TB76A0068</t>
  </si>
  <si>
    <t>AP9-WIFIBT-AB</t>
  </si>
  <si>
    <t>M00115162</t>
  </si>
  <si>
    <t>A864225FT2001602166</t>
  </si>
  <si>
    <t>OPS-A2-8R64S-NA</t>
  </si>
  <si>
    <t>M00115155</t>
  </si>
  <si>
    <t>A864225HT1900600396</t>
  </si>
  <si>
    <t>M00115120</t>
  </si>
  <si>
    <t>J256S2538CT003936</t>
  </si>
  <si>
    <t>OPS4-NP8R256S-NA</t>
  </si>
  <si>
    <t>M00115159</t>
  </si>
  <si>
    <t>AB752P625MC47A0076</t>
  </si>
  <si>
    <t>M00115158</t>
  </si>
  <si>
    <t>770T-J43X1A4420501</t>
  </si>
  <si>
    <t>M00115137</t>
  </si>
  <si>
    <t>775T-LB6BCA0150423</t>
  </si>
  <si>
    <t>AP7B-02-75MAINTOUCHPCA</t>
  </si>
  <si>
    <t>M00115134</t>
  </si>
  <si>
    <t>775T-LB6BCA5550585</t>
  </si>
  <si>
    <t>M00115133</t>
  </si>
  <si>
    <t>770T-LB6XCA1960472</t>
  </si>
  <si>
    <t>AP7B-02-70MAINTOUCHPCA</t>
  </si>
  <si>
    <t>M00115135</t>
  </si>
  <si>
    <t>0WITFQIN25468AA7</t>
  </si>
  <si>
    <t>OPS-C1-CP8R256S-TH-NA</t>
  </si>
  <si>
    <t>M00115107</t>
  </si>
  <si>
    <t>9B75DN938TB04A0039</t>
  </si>
  <si>
    <t>M00115108</t>
  </si>
  <si>
    <t>A864225HT1001100251</t>
  </si>
  <si>
    <t>M00115089</t>
  </si>
  <si>
    <t>G256S221100044403</t>
  </si>
  <si>
    <t>M00115028</t>
  </si>
  <si>
    <t>G256S214100035808</t>
  </si>
  <si>
    <t>M00114920</t>
  </si>
  <si>
    <t>G256S220700043106</t>
  </si>
  <si>
    <t>M00114875</t>
  </si>
  <si>
    <t>G256S212000025794</t>
  </si>
  <si>
    <t>M00114870</t>
  </si>
  <si>
    <t>M00115086</t>
  </si>
  <si>
    <t>LX654NA40AB0130002</t>
  </si>
  <si>
    <t>APLX-MAINBOARD</t>
  </si>
  <si>
    <t>M00115083</t>
  </si>
  <si>
    <t>LX754NC49AB0200061</t>
  </si>
  <si>
    <t>M00114954</t>
  </si>
  <si>
    <t>LX753N727AB0100082</t>
  </si>
  <si>
    <t>M00115090</t>
  </si>
  <si>
    <t>Keypad</t>
  </si>
  <si>
    <t>APLX-KEYPAD</t>
  </si>
  <si>
    <t>APLX-EXT-INPUT</t>
  </si>
  <si>
    <t>AB751P208MC60A0023</t>
  </si>
  <si>
    <t>AP9-REMOTE-CONTROL</t>
  </si>
  <si>
    <t>M00115087</t>
  </si>
  <si>
    <t>M00115103</t>
  </si>
  <si>
    <t>9B652M624T112A0050</t>
  </si>
  <si>
    <t>M00115082</t>
  </si>
  <si>
    <t>AP9B-65PSU</t>
  </si>
  <si>
    <t>AP7B-MAINBOARD</t>
  </si>
  <si>
    <t>M00115091</t>
  </si>
  <si>
    <t>M00115094</t>
  </si>
  <si>
    <t>AP7B-EXT-INPUT</t>
  </si>
  <si>
    <t>AP7B-75PSU</t>
  </si>
  <si>
    <t>AB751P310MC71A0040</t>
  </si>
  <si>
    <t>AP10B-OPS-PCA</t>
  </si>
  <si>
    <t>M00115084</t>
  </si>
  <si>
    <t>WH3310-LK</t>
  </si>
  <si>
    <t>M00114892</t>
  </si>
  <si>
    <t>A864225FT2001601491</t>
  </si>
  <si>
    <t>M00115047</t>
  </si>
  <si>
    <t>H256S241700015164</t>
  </si>
  <si>
    <t>OPS4-5P8R256S-WIN</t>
  </si>
  <si>
    <t>M00114883</t>
  </si>
  <si>
    <t>H256S231900001425</t>
  </si>
  <si>
    <t>M00114793</t>
  </si>
  <si>
    <t>G256S223500059279</t>
  </si>
  <si>
    <t>OPS3-5P8R256S-WIN</t>
  </si>
  <si>
    <t>M00114668</t>
  </si>
  <si>
    <t>G256S215000041149</t>
  </si>
  <si>
    <t>M00114734</t>
  </si>
  <si>
    <t>G256S230900063865</t>
  </si>
  <si>
    <t>M00114919</t>
  </si>
  <si>
    <t>9A752M623K21350541</t>
  </si>
  <si>
    <t>AP9A-MAINBOARD</t>
  </si>
  <si>
    <t>M00115054</t>
  </si>
  <si>
    <t>AP9A-CONSOLE</t>
  </si>
  <si>
    <t>AP9A-75PSU</t>
  </si>
  <si>
    <t>775T-L54U4A3710322</t>
  </si>
  <si>
    <t>M00115052</t>
  </si>
  <si>
    <t>A864225IT2901202297</t>
  </si>
  <si>
    <t>481A71001</t>
  </si>
  <si>
    <t>M00114826</t>
  </si>
  <si>
    <t>9B86GP415TC97A0023</t>
  </si>
  <si>
    <t>AP9B-MAINBOARD-2</t>
  </si>
  <si>
    <t>M00114845</t>
  </si>
  <si>
    <t>AP9B-EXT-INPUT</t>
  </si>
  <si>
    <t>770T-M16XCA0020195</t>
  </si>
  <si>
    <t>AP7B-KEYPAD</t>
  </si>
  <si>
    <t>M00115043</t>
  </si>
  <si>
    <t>775T-M36BDA3790316</t>
  </si>
  <si>
    <t>M00114840</t>
  </si>
  <si>
    <t>AP7B-02-70PSU</t>
  </si>
  <si>
    <t>AP6-65-AC-PCA</t>
  </si>
  <si>
    <t>AP10A-MAINBOARD</t>
  </si>
  <si>
    <t>M00115030</t>
  </si>
  <si>
    <t>AP10A-KEYPAD</t>
  </si>
  <si>
    <t>A864225FT2001601416</t>
  </si>
  <si>
    <t>M00115011</t>
  </si>
  <si>
    <t>AB554R209MC15A0188</t>
  </si>
  <si>
    <t>M00115010</t>
  </si>
  <si>
    <t>LX651N417KB0950097</t>
  </si>
  <si>
    <t>M00115007</t>
  </si>
  <si>
    <t>9A75GP937KB0420336</t>
  </si>
  <si>
    <t>M00115002</t>
  </si>
  <si>
    <t>AP9-POWER-CABLE-US</t>
  </si>
  <si>
    <t>9A75BN519KB0150141</t>
  </si>
  <si>
    <t>M00114816</t>
  </si>
  <si>
    <t>775T-J62U3A5340039</t>
  </si>
  <si>
    <t>M00115012</t>
  </si>
  <si>
    <t>775T-J42U3A3170337</t>
  </si>
  <si>
    <t>M00115015</t>
  </si>
  <si>
    <t>775T-LB6BCA5630713</t>
  </si>
  <si>
    <t>M00115023</t>
  </si>
  <si>
    <t>775T-M46LFA6060772</t>
  </si>
  <si>
    <t>M00114878</t>
  </si>
  <si>
    <t>AB751P312MC72A0043</t>
  </si>
  <si>
    <t>M00115006</t>
  </si>
  <si>
    <t>AP10B-MAINBOARD</t>
  </si>
  <si>
    <t>A864225GT2203100880</t>
  </si>
  <si>
    <t>M00114999</t>
  </si>
  <si>
    <t>AB753QA40MC26A0153</t>
  </si>
  <si>
    <t>M00114996</t>
  </si>
  <si>
    <t>9A652M522K20630166</t>
  </si>
  <si>
    <t>M00114901</t>
  </si>
  <si>
    <t>AP9A-AC-ASSY-65</t>
  </si>
  <si>
    <t>AP9A-65PSU</t>
  </si>
  <si>
    <t>775T-M26BDA2290052</t>
  </si>
  <si>
    <t>M00114991</t>
  </si>
  <si>
    <t>AP7B-02-75PSU</t>
  </si>
  <si>
    <t>770T-LA6XBA1211408</t>
  </si>
  <si>
    <t>M00114988</t>
  </si>
  <si>
    <t>AA751PC49AB0390062</t>
  </si>
  <si>
    <t>SPEAKER</t>
  </si>
  <si>
    <t>AP10A-SPEAKER-R</t>
  </si>
  <si>
    <t>M00114948</t>
  </si>
  <si>
    <t>AP10A-SPEAKER-L</t>
  </si>
  <si>
    <t>0WITFQIN25208071</t>
  </si>
  <si>
    <t>OPS-C1-CP8R256S</t>
  </si>
  <si>
    <t>M00114981</t>
  </si>
  <si>
    <t>APTASBB400-70</t>
  </si>
  <si>
    <t>M00114737</t>
  </si>
  <si>
    <t>9B754M939T165A0050</t>
  </si>
  <si>
    <t>M00114978</t>
  </si>
  <si>
    <t>9B754M939T165A0040</t>
  </si>
  <si>
    <t>M00114977</t>
  </si>
  <si>
    <t>M00114976</t>
  </si>
  <si>
    <t>AP10B-KEYPAD</t>
  </si>
  <si>
    <t>AB753QA43MC32A0053</t>
  </si>
  <si>
    <t>AP10B-ACCBOX-NA</t>
  </si>
  <si>
    <t>M00114529</t>
  </si>
  <si>
    <t>AB752P625MC49A0154</t>
  </si>
  <si>
    <t>M00114953</t>
  </si>
  <si>
    <t>AB751P314MC81A0081</t>
  </si>
  <si>
    <t>M00114947</t>
  </si>
  <si>
    <t>775T-M46LFA6061017</t>
  </si>
  <si>
    <t>AP-WIFI-BC</t>
  </si>
  <si>
    <t>M00114975</t>
  </si>
  <si>
    <t>9B752M625T192A0015</t>
  </si>
  <si>
    <t>M00114949</t>
  </si>
  <si>
    <t>9A865P415VC48A0030</t>
  </si>
  <si>
    <t>M00114967</t>
  </si>
  <si>
    <t>AP9B-86PSU</t>
  </si>
  <si>
    <t>9A652N729VB84A0114</t>
  </si>
  <si>
    <t>M00114588</t>
  </si>
  <si>
    <t>775T-J52U3A3400173</t>
  </si>
  <si>
    <t>M00114955</t>
  </si>
  <si>
    <t>AB753QA42MC30A0155</t>
  </si>
  <si>
    <t>M00114951</t>
  </si>
  <si>
    <t>AP10B-75PSU</t>
  </si>
  <si>
    <t>AA751PC53AB0470136</t>
  </si>
  <si>
    <t>M00114960</t>
  </si>
  <si>
    <t>A864225FT2904900064</t>
  </si>
  <si>
    <t>M00114941</t>
  </si>
  <si>
    <t>A864225FT2001602297</t>
  </si>
  <si>
    <t>M00114932</t>
  </si>
  <si>
    <t>A864225FT2001601538</t>
  </si>
  <si>
    <t>M00114936</t>
  </si>
  <si>
    <t>A864225FT2001601374</t>
  </si>
  <si>
    <t>M00114937</t>
  </si>
  <si>
    <t>A864225FT2001601365</t>
  </si>
  <si>
    <t>M00114938</t>
  </si>
  <si>
    <t>A864225FT2001601915</t>
  </si>
  <si>
    <t>M00114933</t>
  </si>
  <si>
    <t>A864225FT2001601608</t>
  </si>
  <si>
    <t>M00114934</t>
  </si>
  <si>
    <t>A864225FT2001601598</t>
  </si>
  <si>
    <t>M00114935</t>
  </si>
  <si>
    <t>A864225FT2001601354</t>
  </si>
  <si>
    <t>M00114939</t>
  </si>
  <si>
    <t>J256S2513CT000457</t>
  </si>
  <si>
    <t>M00114526</t>
  </si>
  <si>
    <t>9B75BN522TB74A0065</t>
  </si>
  <si>
    <t>M00114929</t>
  </si>
  <si>
    <t>M00114369</t>
  </si>
  <si>
    <t>770T-M26XDA1930184</t>
  </si>
  <si>
    <t>M00114942</t>
  </si>
  <si>
    <t>AB752P625MC41A0102</t>
  </si>
  <si>
    <t>M00114931</t>
  </si>
  <si>
    <t>9A752M730K20690004</t>
  </si>
  <si>
    <t>M00114918</t>
  </si>
  <si>
    <t>770T-K62X3A4790005</t>
  </si>
  <si>
    <t>M00114921</t>
  </si>
  <si>
    <t>M00114926</t>
  </si>
  <si>
    <t>AB651P312MC68A0004</t>
  </si>
  <si>
    <t>M00114661</t>
  </si>
  <si>
    <t>AP10B-EXT-INPUT</t>
  </si>
  <si>
    <t>A864124052401300457</t>
  </si>
  <si>
    <t>OPS-A1-8R64S</t>
  </si>
  <si>
    <t>M00114896</t>
  </si>
  <si>
    <t>AB752P520MC24A0028</t>
  </si>
  <si>
    <t>M00114891</t>
  </si>
  <si>
    <t>9A75BN413KB0210006</t>
  </si>
  <si>
    <t>AP9-WIFI-ANTENNA</t>
  </si>
  <si>
    <t>M00114898</t>
  </si>
  <si>
    <t>M00114755</t>
  </si>
  <si>
    <t>9B652M832T153A0022</t>
  </si>
  <si>
    <t>M00114904</t>
  </si>
  <si>
    <t>9A756MA44K20710074</t>
  </si>
  <si>
    <t>M00114909</t>
  </si>
  <si>
    <t>AP9A-AC-ASSY-75/86</t>
  </si>
  <si>
    <t>M00114907</t>
  </si>
  <si>
    <t>775T-M46LFA5820246</t>
  </si>
  <si>
    <t>M00114902</t>
  </si>
  <si>
    <t>770T-K62X3A7900027</t>
  </si>
  <si>
    <t>M00114903</t>
  </si>
  <si>
    <t>AP5-AC-PCA</t>
  </si>
  <si>
    <t>AA752Q312AB0550078</t>
  </si>
  <si>
    <t>M00114779</t>
  </si>
  <si>
    <t>Part Pick Fee</t>
  </si>
  <si>
    <t>Total Programming Fee</t>
  </si>
  <si>
    <t>Individual Part Fee</t>
  </si>
  <si>
    <t>Part #</t>
  </si>
  <si>
    <t>Outbound Tracking</t>
  </si>
  <si>
    <t>Request Date</t>
  </si>
  <si>
    <t>MSO</t>
  </si>
  <si>
    <t>C1421763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</si>
</sst>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Display"/>
      <family val="2"/>
      <scheme val="major"/>
    </font>
    <font>
      <sz val="8"/>
      <color theme="1"/>
      <name val="Calibri"/>
      <family val="2"/>
    </font>
    <font>
      <u/>
      <sz val="8"/>
      <color theme="1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44" fontId="9" fillId="0" borderId="0" xfId="0" applyNumberFormat="1" applyFont="1"/>
    <xf numFmtId="3" fontId="9" fillId="0" borderId="0" xfId="0" applyNumberFormat="1" applyFont="1"/>
    <xf numFmtId="0" fontId="8" fillId="0" borderId="0" xfId="0" applyFont="1"/>
    <xf numFmtId="44" fontId="8" fillId="3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44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/>
    <xf numFmtId="1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11" fillId="0" borderId="0" xfId="0" applyFont="1"/>
    <xf numFmtId="1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2" xfId="1" xr:uid="{00000000-0005-0000-0000-000002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numFmt numFmtId="0" formatCode="General"/>
      <alignment horizontal="left" vertical="bottom"/>
    </dxf>
    <dxf>
      <numFmt numFmtId="34" formatCode="_(&quot;$&quot;* #,##0.00_);_(&quot;$&quot;* \(#,##0.00\);_(&quot;$&quot;* &quot;-&quot;??_);_(@_)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F255" totalsRowShown="0" headerRowDxfId="28" dataDxfId="27">
  <autoFilter ref="A1:F255" xr:uid="{00000000-0009-0000-0100-000001000000}"/>
  <sortState xmlns:xlrd2="http://schemas.microsoft.com/office/spreadsheetml/2017/richdata2" ref="A2:F468">
    <sortCondition ref="B1:B468"/>
  </sortState>
  <tableColumns count="6">
    <tableColumn id="5" xr3:uid="{00000000-0010-0000-0000-000005000000}" name="Model" dataDxfId="26"/>
    <tableColumn id="6" xr3:uid="{00000000-0010-0000-0000-000006000000}" name="Serial" dataDxfId="25"/>
    <tableColumn id="12" xr3:uid="{00000000-0010-0000-0000-00000C000000}" name="Type" dataDxfId="24"/>
    <tableColumn id="16" xr3:uid="{00000000-0010-0000-0000-000010000000}" name="Size" dataDxfId="23"/>
    <tableColumn id="15" xr3:uid="{00000000-0010-0000-0000-00000F000000}" name="Repair Cost" dataDxfId="22"/>
    <tableColumn id="1" xr3:uid="{00000000-0010-0000-0000-000001000000}" name="Parts Summary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1:F131" totalsRowShown="0" headerRowDxfId="20" dataDxfId="19">
  <autoFilter ref="A1:F131" xr:uid="{00000000-0009-0000-0100-000002000000}"/>
  <tableColumns count="6">
    <tableColumn id="1" xr3:uid="{00000000-0010-0000-0100-000001000000}" name="Model" dataDxfId="18"/>
    <tableColumn id="2" xr3:uid="{00000000-0010-0000-0100-000002000000}" name="Serial" dataDxfId="17"/>
    <tableColumn id="3" xr3:uid="{00000000-0010-0000-0100-000003000000}" name="Triage" dataDxfId="16"/>
    <tableColumn id="4" xr3:uid="{00000000-0010-0000-0100-000004000000}" name="Derived Type" dataDxfId="15"/>
    <tableColumn id="6" xr3:uid="{00000000-0010-0000-0100-000006000000}" name="Size" dataDxfId="14"/>
    <tableColumn id="8" xr3:uid="{00000000-0010-0000-0100-000008000000}" name="Cos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535B89-3BEC-4DCF-8F0B-E04F0B30A6AE}" name="TblPartTesting" displayName="TblPartTesting" ref="A1:J204" dataDxfId="12">
  <autoFilter ref="A1:J204" xr:uid="{00000000-0009-0000-0100-000004000000}"/>
  <sortState xmlns:xlrd2="http://schemas.microsoft.com/office/spreadsheetml/2017/richdata2" ref="A2:J204">
    <sortCondition ref="B1:B204"/>
  </sortState>
  <tableColumns count="10">
    <tableColumn id="1" xr3:uid="{00000000-0010-0000-0300-000001000000}" name="MSO" dataDxfId="11"/>
    <tableColumn id="2" xr3:uid="{00000000-0010-0000-0300-000002000000}" name="Request Date" dataDxfId="10"/>
    <tableColumn id="3" xr3:uid="{00000000-0010-0000-0300-000003000000}" name="Outbound Tracking" dataDxfId="9"/>
    <tableColumn id="4" xr3:uid="{00000000-0010-0000-0300-000004000000}" name="Part #" dataDxfId="8"/>
    <tableColumn id="5" xr3:uid="{00000000-0010-0000-0300-000005000000}" name="Type" dataDxfId="7"/>
    <tableColumn id="6" xr3:uid="{00000000-0010-0000-0300-000006000000}" name="Serial" dataDxfId="6"/>
    <tableColumn id="7" xr3:uid="{00000000-0010-0000-0300-000007000000}" name="Quantity" dataDxfId="5"/>
    <tableColumn id="8" xr3:uid="{00000000-0010-0000-0300-000008000000}" name="Individual Part Fee" dataDxfId="4"/>
    <tableColumn id="9" xr3:uid="{00000000-0010-0000-0300-000009000000}" name="Total Programming Fee" dataDxfId="3"/>
    <tableColumn id="10" xr3:uid="{00000000-0010-0000-0300-00000A000000}" name="Part Pick Fe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47"/>
  <sheetViews>
    <sheetView zoomScale="130" zoomScaleNormal="130" workbookViewId="0">
      <selection activeCell="D3" sqref="D2:D3"/>
    </sheetView>
  </sheetViews>
  <sheetFormatPr defaultRowHeight="13.8" x14ac:dyDescent="0.3"/>
  <cols>
    <col min="1" max="1" width="44.5546875" style="2" bestFit="1" customWidth="1"/>
    <col min="2" max="2" width="14.5546875" style="2" bestFit="1" customWidth="1"/>
    <col min="3" max="3" width="17.44140625" style="2" customWidth="1"/>
    <col min="4" max="4" width="16.44140625" style="2" customWidth="1"/>
    <col min="5" max="5" width="16" style="2" customWidth="1"/>
    <col min="6" max="6" width="8.88671875" style="2" customWidth="1"/>
    <col min="7" max="16384" width="8.88671875" style="2"/>
  </cols>
  <sheetData>
    <row r="1" spans="1:5" x14ac:dyDescent="0.3">
      <c r="A1" s="3" t="s">
        <v>0</v>
      </c>
      <c r="D1" s="15" t="s">
        <v>1</v>
      </c>
      <c r="E1" s="16" t="s">
        <v>813</v>
      </c>
    </row>
    <row r="2" spans="1:5" x14ac:dyDescent="0.3">
      <c r="A2" s="3" t="s">
        <v>2</v>
      </c>
      <c r="D2" s="15" t="s">
        <v>3</v>
      </c>
      <c r="E2" s="16" t="s">
        <v>4</v>
      </c>
    </row>
    <row r="3" spans="1:5" x14ac:dyDescent="0.3">
      <c r="A3" s="4" t="s">
        <v>5</v>
      </c>
      <c r="D3" s="15" t="s">
        <v>6</v>
      </c>
      <c r="E3" s="17">
        <v>46205</v>
      </c>
    </row>
    <row r="4" spans="1:5" x14ac:dyDescent="0.3">
      <c r="D4" s="15" t="s">
        <v>7</v>
      </c>
      <c r="E4" s="17">
        <v>46203</v>
      </c>
    </row>
    <row r="5" spans="1:5" x14ac:dyDescent="0.3">
      <c r="D5" s="15" t="s">
        <v>8</v>
      </c>
      <c r="E5" s="16" t="s">
        <v>9</v>
      </c>
    </row>
    <row r="6" spans="1:5" x14ac:dyDescent="0.3">
      <c r="D6" s="15" t="s">
        <v>10</v>
      </c>
      <c r="E6" s="16" t="s">
        <v>11</v>
      </c>
    </row>
    <row r="8" spans="1:5" ht="21" customHeight="1" x14ac:dyDescent="0.3">
      <c r="A8" s="24" t="str">
        <f>CONCATENATE("PROFORMA INVOICE: ",TEXT(E4,"MMMM YYYY"))</f>
        <v>PROFORMA INVOICE: June 2026</v>
      </c>
      <c r="B8" s="25"/>
      <c r="C8" s="25"/>
      <c r="D8" s="25"/>
      <c r="E8" s="25"/>
    </row>
    <row r="10" spans="1:5" x14ac:dyDescent="0.3">
      <c r="A10" s="5" t="s">
        <v>12</v>
      </c>
      <c r="B10" s="6" t="s">
        <v>13</v>
      </c>
      <c r="C10" s="6" t="s">
        <v>14</v>
      </c>
      <c r="D10" s="6" t="s">
        <v>15</v>
      </c>
      <c r="E10" s="6" t="s">
        <v>16</v>
      </c>
    </row>
    <row r="11" spans="1:5" x14ac:dyDescent="0.3">
      <c r="A11" s="7" t="s">
        <v>17</v>
      </c>
      <c r="B11" s="7" t="s">
        <v>18</v>
      </c>
      <c r="C11" s="8">
        <v>110</v>
      </c>
      <c r="D11" s="9">
        <f>COUNTIFS('Depot Repair'!C:C,"BASIC",'Depot Repair'!D:D,"Small")</f>
        <v>87</v>
      </c>
      <c r="E11" s="8">
        <f>D11*C11</f>
        <v>9570</v>
      </c>
    </row>
    <row r="12" spans="1:5" x14ac:dyDescent="0.3">
      <c r="A12" s="7" t="s">
        <v>19</v>
      </c>
      <c r="B12" s="7" t="s">
        <v>18</v>
      </c>
      <c r="C12" s="8">
        <v>135</v>
      </c>
      <c r="D12" s="9">
        <f>COUNTIFS('Depot Repair'!C:C,"BASIC",'Depot Repair'!D:D,"LARGE")</f>
        <v>14</v>
      </c>
      <c r="E12" s="8">
        <f>D12*C12</f>
        <v>1890</v>
      </c>
    </row>
    <row r="13" spans="1:5" x14ac:dyDescent="0.3">
      <c r="A13" s="7" t="s">
        <v>20</v>
      </c>
      <c r="B13" s="7" t="s">
        <v>18</v>
      </c>
      <c r="C13" s="8">
        <v>220</v>
      </c>
      <c r="D13" s="9">
        <f>COUNTIFS('Depot Repair'!C:C,"Heavy",'Depot Repair'!D:D,"Small")</f>
        <v>36</v>
      </c>
      <c r="E13" s="8">
        <f>D13*C13</f>
        <v>7920</v>
      </c>
    </row>
    <row r="14" spans="1:5" x14ac:dyDescent="0.3">
      <c r="A14" s="7" t="s">
        <v>21</v>
      </c>
      <c r="B14" s="7" t="s">
        <v>18</v>
      </c>
      <c r="C14" s="8">
        <v>268</v>
      </c>
      <c r="D14" s="9">
        <f>COUNTIFS('Depot Repair'!C:C,"Heavy",'Depot Repair'!D:D,"Large")</f>
        <v>24</v>
      </c>
      <c r="E14" s="8">
        <f>D14*C14</f>
        <v>6432</v>
      </c>
    </row>
    <row r="16" spans="1:5" x14ac:dyDescent="0.3">
      <c r="A16" s="7" t="s">
        <v>22</v>
      </c>
      <c r="B16" s="7" t="s">
        <v>18</v>
      </c>
      <c r="C16" s="8">
        <v>86</v>
      </c>
      <c r="D16" s="9">
        <f>COUNTIFS('Triage Units'!D:D,"BasicSmall-Triage")</f>
        <v>2</v>
      </c>
      <c r="E16" s="8">
        <f>D16*C16</f>
        <v>172</v>
      </c>
    </row>
    <row r="17" spans="1:5" x14ac:dyDescent="0.3">
      <c r="A17" s="7" t="s">
        <v>23</v>
      </c>
      <c r="B17" s="7" t="s">
        <v>18</v>
      </c>
      <c r="C17" s="8">
        <v>101</v>
      </c>
      <c r="D17" s="9">
        <f>COUNTIFS('Triage Units'!D:D,"BasicLarge-Triage")</f>
        <v>2</v>
      </c>
      <c r="E17" s="8">
        <f>D17*C17</f>
        <v>202</v>
      </c>
    </row>
    <row r="18" spans="1:5" x14ac:dyDescent="0.3">
      <c r="A18" s="7" t="s">
        <v>24</v>
      </c>
      <c r="B18" s="7" t="s">
        <v>18</v>
      </c>
      <c r="C18" s="8">
        <v>152</v>
      </c>
      <c r="D18" s="9">
        <f>COUNTIFS('Triage Units'!D:D,"HeavySmall-Triage")</f>
        <v>114</v>
      </c>
      <c r="E18" s="8">
        <f>D18*C18</f>
        <v>17328</v>
      </c>
    </row>
    <row r="19" spans="1:5" x14ac:dyDescent="0.3">
      <c r="A19" s="7" t="s">
        <v>25</v>
      </c>
      <c r="B19" s="7" t="s">
        <v>18</v>
      </c>
      <c r="C19" s="8">
        <v>181</v>
      </c>
      <c r="D19" s="9">
        <f>COUNTIFS('Triage Units'!D:D,"HeavyLarge-Triage")</f>
        <v>12</v>
      </c>
      <c r="E19" s="8">
        <f>D19*C19</f>
        <v>2172</v>
      </c>
    </row>
    <row r="21" spans="1:5" x14ac:dyDescent="0.3">
      <c r="A21" s="7" t="s">
        <v>26</v>
      </c>
      <c r="B21" s="7" t="s">
        <v>18</v>
      </c>
      <c r="C21" s="8">
        <v>64</v>
      </c>
      <c r="D21" s="9">
        <f>COUNTIFS('Depot Repair'!C:C,"BasicSmall - Previously Triaged")</f>
        <v>1</v>
      </c>
      <c r="E21" s="8">
        <f>D21*C21</f>
        <v>64</v>
      </c>
    </row>
    <row r="22" spans="1:5" x14ac:dyDescent="0.3">
      <c r="A22" s="7" t="s">
        <v>27</v>
      </c>
      <c r="B22" s="7" t="s">
        <v>18</v>
      </c>
      <c r="C22" s="8">
        <v>74</v>
      </c>
      <c r="D22" s="9">
        <f>COUNTIFS('Depot Repair'!C:C,"BasicLarge - Previously Triaged")</f>
        <v>1</v>
      </c>
      <c r="E22" s="8">
        <f>D22*C22</f>
        <v>74</v>
      </c>
    </row>
    <row r="23" spans="1:5" x14ac:dyDescent="0.3">
      <c r="A23" s="7" t="s">
        <v>28</v>
      </c>
      <c r="B23" s="7" t="s">
        <v>18</v>
      </c>
      <c r="C23" s="8">
        <v>108</v>
      </c>
      <c r="D23" s="9">
        <f>COUNTIFS('Depot Repair'!C:C,"HeavySmall - Previously Triaged")</f>
        <v>17</v>
      </c>
      <c r="E23" s="8">
        <f>D23*C23</f>
        <v>1836</v>
      </c>
    </row>
    <row r="24" spans="1:5" x14ac:dyDescent="0.3">
      <c r="A24" s="7" t="s">
        <v>29</v>
      </c>
      <c r="B24" s="7" t="s">
        <v>18</v>
      </c>
      <c r="C24" s="8">
        <v>127</v>
      </c>
      <c r="D24" s="9">
        <f>COUNTIFS('Depot Repair'!C:C,"HeavyLarge - Previously Triaged")</f>
        <v>10</v>
      </c>
      <c r="E24" s="8">
        <f>D24*C24</f>
        <v>1270</v>
      </c>
    </row>
    <row r="26" spans="1:5" x14ac:dyDescent="0.3">
      <c r="A26" s="7" t="s">
        <v>30</v>
      </c>
      <c r="B26" s="7" t="s">
        <v>18</v>
      </c>
      <c r="C26" s="8">
        <v>50</v>
      </c>
      <c r="D26" s="9">
        <v>0</v>
      </c>
      <c r="E26" s="8">
        <f>D26*C26</f>
        <v>0</v>
      </c>
    </row>
    <row r="28" spans="1:5" x14ac:dyDescent="0.3">
      <c r="A28" s="7" t="s">
        <v>31</v>
      </c>
      <c r="B28" s="7" t="s">
        <v>18</v>
      </c>
      <c r="C28" s="8">
        <v>19</v>
      </c>
      <c r="D28" s="9">
        <f>COUNTIFS('Depot Repair'!C:C,"Immediate Scrap")</f>
        <v>0</v>
      </c>
      <c r="E28" s="8">
        <f>D28*C28</f>
        <v>0</v>
      </c>
    </row>
    <row r="29" spans="1:5" x14ac:dyDescent="0.3">
      <c r="A29" s="7" t="s">
        <v>32</v>
      </c>
      <c r="B29" s="7" t="s">
        <v>18</v>
      </c>
      <c r="C29" s="8">
        <v>28</v>
      </c>
      <c r="D29" s="9">
        <f>COUNTIFS('Depot Repair'!C:C,"Salvage of Hardware and Scrap")</f>
        <v>64</v>
      </c>
      <c r="E29" s="8">
        <f>D29*C29</f>
        <v>1792</v>
      </c>
    </row>
    <row r="31" spans="1:5" x14ac:dyDescent="0.3">
      <c r="A31" s="7" t="s">
        <v>33</v>
      </c>
      <c r="B31" s="7" t="s">
        <v>34</v>
      </c>
      <c r="C31" s="8">
        <v>75</v>
      </c>
      <c r="D31" s="9">
        <v>0</v>
      </c>
      <c r="E31" s="8">
        <f>D31*C31</f>
        <v>0</v>
      </c>
    </row>
    <row r="33" spans="1:5" x14ac:dyDescent="0.3">
      <c r="A33" s="5" t="s">
        <v>507</v>
      </c>
      <c r="B33" s="6" t="s">
        <v>13</v>
      </c>
      <c r="C33" s="6" t="s">
        <v>14</v>
      </c>
      <c r="D33" s="6" t="s">
        <v>15</v>
      </c>
      <c r="E33" s="6" t="s">
        <v>16</v>
      </c>
    </row>
    <row r="34" spans="1:5" x14ac:dyDescent="0.3">
      <c r="A34" s="7" t="s">
        <v>506</v>
      </c>
      <c r="B34" s="7" t="s">
        <v>18</v>
      </c>
      <c r="C34" s="8">
        <v>7</v>
      </c>
      <c r="D34" s="9">
        <f>SUMIFS(TblPartTesting[Quantity],TblPartTesting[Type],"PSU")</f>
        <v>30</v>
      </c>
      <c r="E34" s="8">
        <f t="shared" ref="E34:E43" si="0">D34*C34</f>
        <v>210</v>
      </c>
    </row>
    <row r="35" spans="1:5" x14ac:dyDescent="0.3">
      <c r="A35" s="7" t="s">
        <v>505</v>
      </c>
      <c r="B35" s="7" t="s">
        <v>18</v>
      </c>
      <c r="C35" s="8">
        <v>52</v>
      </c>
      <c r="D35" s="9">
        <f>SUMIFS(TblPartTesting[Quantity],TblPartTesting[Type],"Mainboard Configure for Dispatch")</f>
        <v>44</v>
      </c>
      <c r="E35" s="8">
        <f t="shared" si="0"/>
        <v>2288</v>
      </c>
    </row>
    <row r="36" spans="1:5" x14ac:dyDescent="0.3">
      <c r="A36" s="7" t="s">
        <v>504</v>
      </c>
      <c r="B36" s="7" t="s">
        <v>18</v>
      </c>
      <c r="C36" s="8">
        <v>37</v>
      </c>
      <c r="D36" s="9">
        <f>SUMIFS(TblPartTesting[Quantity],TblPartTesting[Type],"Mainboard")</f>
        <v>0</v>
      </c>
      <c r="E36" s="8">
        <f t="shared" si="0"/>
        <v>0</v>
      </c>
    </row>
    <row r="37" spans="1:5" x14ac:dyDescent="0.3">
      <c r="A37" s="7" t="s">
        <v>503</v>
      </c>
      <c r="B37" s="7" t="s">
        <v>18</v>
      </c>
      <c r="C37" s="8">
        <v>4</v>
      </c>
      <c r="D37" s="9">
        <f>SUMIFS(TblPartTesting[Quantity],TblPartTesting[Type],"AC-PCA")</f>
        <v>8</v>
      </c>
      <c r="E37" s="8">
        <f t="shared" si="0"/>
        <v>32</v>
      </c>
    </row>
    <row r="38" spans="1:5" x14ac:dyDescent="0.3">
      <c r="A38" s="7" t="s">
        <v>502</v>
      </c>
      <c r="B38" s="7" t="s">
        <v>18</v>
      </c>
      <c r="C38" s="8">
        <v>4</v>
      </c>
      <c r="D38" s="9">
        <f>SUMIFS(TblPartTesting[Quantity],TblPartTesting[Type],"Keypad")</f>
        <v>29</v>
      </c>
      <c r="E38" s="8">
        <f t="shared" si="0"/>
        <v>116</v>
      </c>
    </row>
    <row r="39" spans="1:5" x14ac:dyDescent="0.3">
      <c r="A39" s="7" t="s">
        <v>501</v>
      </c>
      <c r="B39" s="7" t="s">
        <v>18</v>
      </c>
      <c r="C39" s="8">
        <v>37</v>
      </c>
      <c r="D39" s="9">
        <f>SUMIFS(TblPartTesting[Quantity],TblPartTesting[Type],"Maintouch")</f>
        <v>13</v>
      </c>
      <c r="E39" s="8">
        <f t="shared" si="0"/>
        <v>481</v>
      </c>
    </row>
    <row r="40" spans="1:5" x14ac:dyDescent="0.3">
      <c r="A40" s="7" t="s">
        <v>500</v>
      </c>
      <c r="B40" s="7" t="s">
        <v>18</v>
      </c>
      <c r="C40" s="8">
        <v>7</v>
      </c>
      <c r="D40" s="9">
        <f>SUMIFS(TblPartTesting[Quantity],TblPartTesting[Type],"Ext-Input")</f>
        <v>6</v>
      </c>
      <c r="E40" s="8">
        <f t="shared" si="0"/>
        <v>42</v>
      </c>
    </row>
    <row r="41" spans="1:5" x14ac:dyDescent="0.3">
      <c r="A41" s="7" t="s">
        <v>499</v>
      </c>
      <c r="B41" s="7" t="s">
        <v>18</v>
      </c>
      <c r="C41" s="8">
        <v>4</v>
      </c>
      <c r="D41" s="9">
        <f>SUMIFS(TblPartTesting[Quantity],TblPartTesting[Type],"OPS-PCA")</f>
        <v>3</v>
      </c>
      <c r="E41" s="8">
        <f t="shared" si="0"/>
        <v>12</v>
      </c>
    </row>
    <row r="42" spans="1:5" x14ac:dyDescent="0.3">
      <c r="A42" s="7" t="s">
        <v>498</v>
      </c>
      <c r="B42" s="7" t="s">
        <v>18</v>
      </c>
      <c r="C42" s="8">
        <v>4</v>
      </c>
      <c r="D42" s="9">
        <f>SUMIFS(TblPartTesting[Quantity],TblPartTesting[Type],"USB")</f>
        <v>52</v>
      </c>
      <c r="E42" s="8">
        <f t="shared" si="0"/>
        <v>208</v>
      </c>
    </row>
    <row r="43" spans="1:5" x14ac:dyDescent="0.3">
      <c r="A43" s="7" t="s">
        <v>497</v>
      </c>
      <c r="B43" s="7" t="s">
        <v>18</v>
      </c>
      <c r="C43" s="8">
        <v>4</v>
      </c>
      <c r="D43" s="9">
        <f>SUMIFS(TblPartTesting[Quantity],TblPartTesting[Type],"Speaker")</f>
        <v>2</v>
      </c>
      <c r="E43" s="8">
        <f t="shared" si="0"/>
        <v>8</v>
      </c>
    </row>
    <row r="45" spans="1:5" x14ac:dyDescent="0.3">
      <c r="D45" s="10" t="s">
        <v>35</v>
      </c>
      <c r="E45" s="8">
        <f>SUM(E11:E43)</f>
        <v>54119</v>
      </c>
    </row>
    <row r="46" spans="1:5" x14ac:dyDescent="0.3">
      <c r="D46" s="10" t="s">
        <v>36</v>
      </c>
      <c r="E46" s="8">
        <f>E45*7%</f>
        <v>3788.3300000000004</v>
      </c>
    </row>
    <row r="47" spans="1:5" x14ac:dyDescent="0.3">
      <c r="D47" s="10" t="s">
        <v>37</v>
      </c>
      <c r="E47" s="11">
        <f>SUM(E45:E46)</f>
        <v>57907.33</v>
      </c>
    </row>
  </sheetData>
  <mergeCells count="1">
    <mergeCell ref="A8:E8"/>
  </mergeCells>
  <pageMargins left="0.7" right="0.7" top="0.75" bottom="0.75" header="0.3" footer="0.3"/>
  <pageSetup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55"/>
  <sheetViews>
    <sheetView topLeftCell="A211" workbookViewId="0">
      <selection activeCell="A247" sqref="A247:XFD247"/>
    </sheetView>
  </sheetViews>
  <sheetFormatPr defaultRowHeight="14.4" x14ac:dyDescent="0.3"/>
  <cols>
    <col min="1" max="1" width="21.44140625" customWidth="1"/>
    <col min="2" max="2" width="26.21875" customWidth="1"/>
    <col min="3" max="3" width="31.21875" customWidth="1"/>
    <col min="4" max="4" width="13.33203125" customWidth="1"/>
    <col min="5" max="5" width="20.5546875" customWidth="1"/>
    <col min="6" max="6" width="35.44140625" customWidth="1"/>
  </cols>
  <sheetData>
    <row r="1" spans="1:6" x14ac:dyDescent="0.3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</row>
    <row r="2" spans="1:6" x14ac:dyDescent="0.3">
      <c r="A2" s="13" t="s">
        <v>44</v>
      </c>
      <c r="B2" s="13" t="s">
        <v>45</v>
      </c>
      <c r="C2" s="13" t="s">
        <v>46</v>
      </c>
      <c r="D2" s="13" t="s">
        <v>47</v>
      </c>
      <c r="E2" s="14">
        <v>135</v>
      </c>
      <c r="F2" s="13" t="s">
        <v>48</v>
      </c>
    </row>
    <row r="3" spans="1:6" x14ac:dyDescent="0.3">
      <c r="A3" s="13" t="s">
        <v>49</v>
      </c>
      <c r="B3" s="13" t="s">
        <v>50</v>
      </c>
      <c r="C3" s="13" t="s">
        <v>46</v>
      </c>
      <c r="D3" s="13" t="s">
        <v>47</v>
      </c>
      <c r="E3" s="14">
        <v>135</v>
      </c>
      <c r="F3" s="13" t="s">
        <v>51</v>
      </c>
    </row>
    <row r="4" spans="1:6" x14ac:dyDescent="0.3">
      <c r="A4" s="13" t="s">
        <v>49</v>
      </c>
      <c r="B4" s="13" t="s">
        <v>52</v>
      </c>
      <c r="C4" s="13" t="s">
        <v>46</v>
      </c>
      <c r="D4" s="13" t="s">
        <v>47</v>
      </c>
      <c r="E4" s="14">
        <v>135</v>
      </c>
      <c r="F4" s="13" t="s">
        <v>51</v>
      </c>
    </row>
    <row r="5" spans="1:6" x14ac:dyDescent="0.3">
      <c r="A5" s="13" t="s">
        <v>53</v>
      </c>
      <c r="B5" s="13" t="s">
        <v>54</v>
      </c>
      <c r="C5" s="13" t="s">
        <v>46</v>
      </c>
      <c r="D5" s="13" t="s">
        <v>47</v>
      </c>
      <c r="E5" s="14">
        <v>135</v>
      </c>
      <c r="F5" s="13" t="s">
        <v>55</v>
      </c>
    </row>
    <row r="6" spans="1:6" x14ac:dyDescent="0.3">
      <c r="A6" s="13" t="s">
        <v>56</v>
      </c>
      <c r="B6" s="13" t="s">
        <v>57</v>
      </c>
      <c r="C6" s="13" t="s">
        <v>46</v>
      </c>
      <c r="D6" s="13" t="s">
        <v>47</v>
      </c>
      <c r="E6" s="14">
        <v>135</v>
      </c>
      <c r="F6" s="13" t="s">
        <v>58</v>
      </c>
    </row>
    <row r="7" spans="1:6" x14ac:dyDescent="0.3">
      <c r="A7" s="13" t="s">
        <v>59</v>
      </c>
      <c r="B7" s="13" t="s">
        <v>60</v>
      </c>
      <c r="C7" s="13" t="s">
        <v>46</v>
      </c>
      <c r="D7" s="13" t="s">
        <v>47</v>
      </c>
      <c r="E7" s="14">
        <v>135</v>
      </c>
      <c r="F7" s="13" t="s">
        <v>51</v>
      </c>
    </row>
    <row r="8" spans="1:6" x14ac:dyDescent="0.3">
      <c r="A8" s="13" t="s">
        <v>59</v>
      </c>
      <c r="B8" s="13" t="s">
        <v>61</v>
      </c>
      <c r="C8" s="13" t="s">
        <v>46</v>
      </c>
      <c r="D8" s="13" t="s">
        <v>47</v>
      </c>
      <c r="E8" s="14">
        <v>135</v>
      </c>
      <c r="F8" s="13" t="s">
        <v>48</v>
      </c>
    </row>
    <row r="9" spans="1:6" x14ac:dyDescent="0.3">
      <c r="A9" s="13" t="s">
        <v>62</v>
      </c>
      <c r="B9" s="13" t="s">
        <v>63</v>
      </c>
      <c r="C9" s="13" t="s">
        <v>46</v>
      </c>
      <c r="D9" s="13" t="s">
        <v>47</v>
      </c>
      <c r="E9" s="14">
        <v>135</v>
      </c>
      <c r="F9" s="13" t="s">
        <v>64</v>
      </c>
    </row>
    <row r="10" spans="1:6" x14ac:dyDescent="0.3">
      <c r="A10" s="13" t="s">
        <v>62</v>
      </c>
      <c r="B10" s="13" t="s">
        <v>65</v>
      </c>
      <c r="C10" s="13" t="s">
        <v>46</v>
      </c>
      <c r="D10" s="13" t="s">
        <v>47</v>
      </c>
      <c r="E10" s="14">
        <v>135</v>
      </c>
      <c r="F10" s="13" t="s">
        <v>51</v>
      </c>
    </row>
    <row r="11" spans="1:6" x14ac:dyDescent="0.3">
      <c r="A11" s="13" t="s">
        <v>66</v>
      </c>
      <c r="B11" s="13" t="s">
        <v>67</v>
      </c>
      <c r="C11" s="13" t="s">
        <v>46</v>
      </c>
      <c r="D11" s="13" t="s">
        <v>47</v>
      </c>
      <c r="E11" s="14">
        <v>135</v>
      </c>
      <c r="F11" s="13" t="s">
        <v>48</v>
      </c>
    </row>
    <row r="12" spans="1:6" x14ac:dyDescent="0.3">
      <c r="A12" s="13" t="s">
        <v>66</v>
      </c>
      <c r="B12" s="13" t="s">
        <v>68</v>
      </c>
      <c r="C12" s="13" t="s">
        <v>46</v>
      </c>
      <c r="D12" s="13" t="s">
        <v>47</v>
      </c>
      <c r="E12" s="14">
        <v>135</v>
      </c>
      <c r="F12" s="13" t="s">
        <v>51</v>
      </c>
    </row>
    <row r="13" spans="1:6" x14ac:dyDescent="0.3">
      <c r="A13" s="13" t="s">
        <v>66</v>
      </c>
      <c r="B13" s="13" t="s">
        <v>69</v>
      </c>
      <c r="C13" s="13" t="s">
        <v>46</v>
      </c>
      <c r="D13" s="13" t="s">
        <v>47</v>
      </c>
      <c r="E13" s="14">
        <v>135</v>
      </c>
      <c r="F13" s="13" t="s">
        <v>51</v>
      </c>
    </row>
    <row r="14" spans="1:6" x14ac:dyDescent="0.3">
      <c r="A14" s="13" t="s">
        <v>66</v>
      </c>
      <c r="B14" s="13" t="s">
        <v>70</v>
      </c>
      <c r="C14" s="13" t="s">
        <v>46</v>
      </c>
      <c r="D14" s="13" t="s">
        <v>47</v>
      </c>
      <c r="E14" s="14">
        <v>135</v>
      </c>
      <c r="F14" s="13" t="s">
        <v>55</v>
      </c>
    </row>
    <row r="15" spans="1:6" x14ac:dyDescent="0.3">
      <c r="A15" s="13" t="s">
        <v>71</v>
      </c>
      <c r="B15" s="13" t="s">
        <v>72</v>
      </c>
      <c r="C15" s="13" t="s">
        <v>46</v>
      </c>
      <c r="D15" s="13" t="s">
        <v>47</v>
      </c>
      <c r="E15" s="14">
        <v>135</v>
      </c>
      <c r="F15" s="13" t="s">
        <v>48</v>
      </c>
    </row>
    <row r="16" spans="1:6" x14ac:dyDescent="0.3">
      <c r="A16" s="13" t="s">
        <v>73</v>
      </c>
      <c r="B16" s="13" t="s">
        <v>74</v>
      </c>
      <c r="C16" s="13" t="s">
        <v>46</v>
      </c>
      <c r="D16" s="13" t="s">
        <v>75</v>
      </c>
      <c r="E16" s="14">
        <v>110</v>
      </c>
      <c r="F16" s="13" t="s">
        <v>51</v>
      </c>
    </row>
    <row r="17" spans="1:6" x14ac:dyDescent="0.3">
      <c r="A17" s="13" t="s">
        <v>76</v>
      </c>
      <c r="B17" s="13" t="s">
        <v>77</v>
      </c>
      <c r="C17" s="13" t="s">
        <v>46</v>
      </c>
      <c r="D17" s="13" t="s">
        <v>75</v>
      </c>
      <c r="E17" s="14">
        <v>110</v>
      </c>
      <c r="F17" s="13" t="s">
        <v>51</v>
      </c>
    </row>
    <row r="18" spans="1:6" x14ac:dyDescent="0.3">
      <c r="A18" s="13" t="s">
        <v>78</v>
      </c>
      <c r="B18" s="13" t="s">
        <v>79</v>
      </c>
      <c r="C18" s="13" t="s">
        <v>46</v>
      </c>
      <c r="D18" s="13" t="s">
        <v>75</v>
      </c>
      <c r="E18" s="14">
        <v>110</v>
      </c>
      <c r="F18" s="13" t="s">
        <v>48</v>
      </c>
    </row>
    <row r="19" spans="1:6" x14ac:dyDescent="0.3">
      <c r="A19" s="13" t="s">
        <v>80</v>
      </c>
      <c r="B19" s="13" t="s">
        <v>81</v>
      </c>
      <c r="C19" s="13" t="s">
        <v>46</v>
      </c>
      <c r="D19" s="13" t="s">
        <v>75</v>
      </c>
      <c r="E19" s="14">
        <v>110</v>
      </c>
      <c r="F19" s="13" t="s">
        <v>51</v>
      </c>
    </row>
    <row r="20" spans="1:6" x14ac:dyDescent="0.3">
      <c r="A20" s="13" t="s">
        <v>80</v>
      </c>
      <c r="B20" s="13" t="s">
        <v>82</v>
      </c>
      <c r="C20" s="13" t="s">
        <v>46</v>
      </c>
      <c r="D20" s="13" t="s">
        <v>75</v>
      </c>
      <c r="E20" s="14">
        <v>110</v>
      </c>
      <c r="F20" s="13" t="s">
        <v>51</v>
      </c>
    </row>
    <row r="21" spans="1:6" x14ac:dyDescent="0.3">
      <c r="A21" s="13" t="s">
        <v>83</v>
      </c>
      <c r="B21" s="13" t="s">
        <v>84</v>
      </c>
      <c r="C21" s="13" t="s">
        <v>46</v>
      </c>
      <c r="D21" s="13" t="s">
        <v>75</v>
      </c>
      <c r="E21" s="14">
        <v>110</v>
      </c>
      <c r="F21" s="13" t="s">
        <v>55</v>
      </c>
    </row>
    <row r="22" spans="1:6" x14ac:dyDescent="0.3">
      <c r="A22" s="13" t="s">
        <v>83</v>
      </c>
      <c r="B22" s="13" t="s">
        <v>85</v>
      </c>
      <c r="C22" s="13" t="s">
        <v>46</v>
      </c>
      <c r="D22" s="13" t="s">
        <v>75</v>
      </c>
      <c r="E22" s="14">
        <v>110</v>
      </c>
      <c r="F22" s="13" t="s">
        <v>48</v>
      </c>
    </row>
    <row r="23" spans="1:6" x14ac:dyDescent="0.3">
      <c r="A23" s="13" t="s">
        <v>83</v>
      </c>
      <c r="B23" s="13" t="s">
        <v>86</v>
      </c>
      <c r="C23" s="13" t="s">
        <v>46</v>
      </c>
      <c r="D23" s="13" t="s">
        <v>75</v>
      </c>
      <c r="E23" s="14">
        <v>110</v>
      </c>
      <c r="F23" s="13" t="s">
        <v>87</v>
      </c>
    </row>
    <row r="24" spans="1:6" x14ac:dyDescent="0.3">
      <c r="A24" s="13" t="s">
        <v>83</v>
      </c>
      <c r="B24" s="13" t="s">
        <v>88</v>
      </c>
      <c r="C24" s="13" t="s">
        <v>46</v>
      </c>
      <c r="D24" s="13" t="s">
        <v>75</v>
      </c>
      <c r="E24" s="14">
        <v>110</v>
      </c>
      <c r="F24" s="13" t="s">
        <v>89</v>
      </c>
    </row>
    <row r="25" spans="1:6" x14ac:dyDescent="0.3">
      <c r="A25" s="13" t="s">
        <v>90</v>
      </c>
      <c r="B25" s="13" t="s">
        <v>91</v>
      </c>
      <c r="C25" s="13" t="s">
        <v>46</v>
      </c>
      <c r="D25" s="13" t="s">
        <v>75</v>
      </c>
      <c r="E25" s="14">
        <v>110</v>
      </c>
      <c r="F25" s="13" t="s">
        <v>51</v>
      </c>
    </row>
    <row r="26" spans="1:6" x14ac:dyDescent="0.3">
      <c r="A26" s="13" t="s">
        <v>90</v>
      </c>
      <c r="B26" s="13" t="s">
        <v>92</v>
      </c>
      <c r="C26" s="13" t="s">
        <v>46</v>
      </c>
      <c r="D26" s="13" t="s">
        <v>75</v>
      </c>
      <c r="E26" s="14">
        <v>110</v>
      </c>
      <c r="F26" s="13" t="s">
        <v>93</v>
      </c>
    </row>
    <row r="27" spans="1:6" x14ac:dyDescent="0.3">
      <c r="A27" s="13" t="s">
        <v>90</v>
      </c>
      <c r="B27" s="13" t="s">
        <v>94</v>
      </c>
      <c r="C27" s="13" t="s">
        <v>46</v>
      </c>
      <c r="D27" s="13" t="s">
        <v>75</v>
      </c>
      <c r="E27" s="14">
        <v>110</v>
      </c>
      <c r="F27" s="13" t="s">
        <v>55</v>
      </c>
    </row>
    <row r="28" spans="1:6" x14ac:dyDescent="0.3">
      <c r="A28" s="13" t="s">
        <v>90</v>
      </c>
      <c r="B28" s="13" t="s">
        <v>95</v>
      </c>
      <c r="C28" s="13" t="s">
        <v>46</v>
      </c>
      <c r="D28" s="13" t="s">
        <v>75</v>
      </c>
      <c r="E28" s="14">
        <v>110</v>
      </c>
      <c r="F28" s="13" t="s">
        <v>55</v>
      </c>
    </row>
    <row r="29" spans="1:6" x14ac:dyDescent="0.3">
      <c r="A29" s="13" t="s">
        <v>90</v>
      </c>
      <c r="B29" s="13" t="s">
        <v>96</v>
      </c>
      <c r="C29" s="13" t="s">
        <v>46</v>
      </c>
      <c r="D29" s="13" t="s">
        <v>75</v>
      </c>
      <c r="E29" s="14">
        <v>110</v>
      </c>
      <c r="F29" s="13" t="s">
        <v>51</v>
      </c>
    </row>
    <row r="30" spans="1:6" x14ac:dyDescent="0.3">
      <c r="A30" s="13" t="s">
        <v>90</v>
      </c>
      <c r="B30" s="13" t="s">
        <v>97</v>
      </c>
      <c r="C30" s="13" t="s">
        <v>46</v>
      </c>
      <c r="D30" s="13" t="s">
        <v>75</v>
      </c>
      <c r="E30" s="14">
        <v>110</v>
      </c>
      <c r="F30" s="13" t="s">
        <v>51</v>
      </c>
    </row>
    <row r="31" spans="1:6" x14ac:dyDescent="0.3">
      <c r="A31" s="13" t="s">
        <v>90</v>
      </c>
      <c r="B31" s="13" t="s">
        <v>98</v>
      </c>
      <c r="C31" s="13" t="s">
        <v>46</v>
      </c>
      <c r="D31" s="13" t="s">
        <v>75</v>
      </c>
      <c r="E31" s="14">
        <v>110</v>
      </c>
      <c r="F31" s="13" t="s">
        <v>51</v>
      </c>
    </row>
    <row r="32" spans="1:6" x14ac:dyDescent="0.3">
      <c r="A32" s="13" t="s">
        <v>90</v>
      </c>
      <c r="B32" s="13" t="s">
        <v>99</v>
      </c>
      <c r="C32" s="13" t="s">
        <v>46</v>
      </c>
      <c r="D32" s="13" t="s">
        <v>75</v>
      </c>
      <c r="E32" s="14">
        <v>110</v>
      </c>
      <c r="F32" s="13" t="s">
        <v>51</v>
      </c>
    </row>
    <row r="33" spans="1:6" x14ac:dyDescent="0.3">
      <c r="A33" s="13" t="s">
        <v>90</v>
      </c>
      <c r="B33" s="13" t="s">
        <v>100</v>
      </c>
      <c r="C33" s="13" t="s">
        <v>46</v>
      </c>
      <c r="D33" s="13" t="s">
        <v>75</v>
      </c>
      <c r="E33" s="14">
        <v>110</v>
      </c>
      <c r="F33" s="13" t="s">
        <v>101</v>
      </c>
    </row>
    <row r="34" spans="1:6" x14ac:dyDescent="0.3">
      <c r="A34" s="13" t="s">
        <v>90</v>
      </c>
      <c r="B34" s="13" t="s">
        <v>102</v>
      </c>
      <c r="C34" s="13" t="s">
        <v>46</v>
      </c>
      <c r="D34" s="13" t="s">
        <v>75</v>
      </c>
      <c r="E34" s="14">
        <v>110</v>
      </c>
      <c r="F34" s="13" t="s">
        <v>58</v>
      </c>
    </row>
    <row r="35" spans="1:6" x14ac:dyDescent="0.3">
      <c r="A35" s="13" t="s">
        <v>90</v>
      </c>
      <c r="B35" s="13" t="s">
        <v>103</v>
      </c>
      <c r="C35" s="13" t="s">
        <v>46</v>
      </c>
      <c r="D35" s="13" t="s">
        <v>75</v>
      </c>
      <c r="E35" s="14">
        <v>110</v>
      </c>
      <c r="F35" s="13" t="s">
        <v>48</v>
      </c>
    </row>
    <row r="36" spans="1:6" x14ac:dyDescent="0.3">
      <c r="A36" s="13" t="s">
        <v>90</v>
      </c>
      <c r="B36" s="13" t="s">
        <v>104</v>
      </c>
      <c r="C36" s="13" t="s">
        <v>46</v>
      </c>
      <c r="D36" s="13" t="s">
        <v>75</v>
      </c>
      <c r="E36" s="14">
        <v>110</v>
      </c>
      <c r="F36" s="13" t="s">
        <v>105</v>
      </c>
    </row>
    <row r="37" spans="1:6" x14ac:dyDescent="0.3">
      <c r="A37" s="13" t="s">
        <v>90</v>
      </c>
      <c r="B37" s="13" t="s">
        <v>106</v>
      </c>
      <c r="C37" s="13" t="s">
        <v>46</v>
      </c>
      <c r="D37" s="13" t="s">
        <v>75</v>
      </c>
      <c r="E37" s="14">
        <v>110</v>
      </c>
      <c r="F37" s="13" t="s">
        <v>51</v>
      </c>
    </row>
    <row r="38" spans="1:6" x14ac:dyDescent="0.3">
      <c r="A38" s="13" t="s">
        <v>90</v>
      </c>
      <c r="B38" s="13" t="s">
        <v>107</v>
      </c>
      <c r="C38" s="13" t="s">
        <v>46</v>
      </c>
      <c r="D38" s="13" t="s">
        <v>75</v>
      </c>
      <c r="E38" s="14">
        <v>110</v>
      </c>
      <c r="F38" s="13" t="s">
        <v>87</v>
      </c>
    </row>
    <row r="39" spans="1:6" x14ac:dyDescent="0.3">
      <c r="A39" s="13" t="s">
        <v>90</v>
      </c>
      <c r="B39" s="13" t="s">
        <v>108</v>
      </c>
      <c r="C39" s="13" t="s">
        <v>46</v>
      </c>
      <c r="D39" s="13" t="s">
        <v>75</v>
      </c>
      <c r="E39" s="14">
        <v>110</v>
      </c>
      <c r="F39" s="13" t="s">
        <v>109</v>
      </c>
    </row>
    <row r="40" spans="1:6" x14ac:dyDescent="0.3">
      <c r="A40" s="13" t="s">
        <v>90</v>
      </c>
      <c r="B40" s="13" t="s">
        <v>110</v>
      </c>
      <c r="C40" s="13" t="s">
        <v>46</v>
      </c>
      <c r="D40" s="13" t="s">
        <v>75</v>
      </c>
      <c r="E40" s="14">
        <v>110</v>
      </c>
      <c r="F40" s="13" t="s">
        <v>55</v>
      </c>
    </row>
    <row r="41" spans="1:6" x14ac:dyDescent="0.3">
      <c r="A41" s="13" t="s">
        <v>90</v>
      </c>
      <c r="B41" s="13" t="s">
        <v>111</v>
      </c>
      <c r="C41" s="13" t="s">
        <v>46</v>
      </c>
      <c r="D41" s="13" t="s">
        <v>75</v>
      </c>
      <c r="E41" s="14">
        <v>110</v>
      </c>
      <c r="F41" s="13" t="s">
        <v>55</v>
      </c>
    </row>
    <row r="42" spans="1:6" x14ac:dyDescent="0.3">
      <c r="A42" s="13" t="s">
        <v>90</v>
      </c>
      <c r="B42" s="13" t="s">
        <v>112</v>
      </c>
      <c r="C42" s="13" t="s">
        <v>46</v>
      </c>
      <c r="D42" s="13" t="s">
        <v>75</v>
      </c>
      <c r="E42" s="14">
        <v>110</v>
      </c>
      <c r="F42" s="13" t="s">
        <v>55</v>
      </c>
    </row>
    <row r="43" spans="1:6" x14ac:dyDescent="0.3">
      <c r="A43" s="13" t="s">
        <v>90</v>
      </c>
      <c r="B43" s="13" t="s">
        <v>113</v>
      </c>
      <c r="C43" s="13" t="s">
        <v>46</v>
      </c>
      <c r="D43" s="13" t="s">
        <v>75</v>
      </c>
      <c r="E43" s="14">
        <v>110</v>
      </c>
      <c r="F43" s="13" t="s">
        <v>114</v>
      </c>
    </row>
    <row r="44" spans="1:6" x14ac:dyDescent="0.3">
      <c r="A44" s="13" t="s">
        <v>90</v>
      </c>
      <c r="B44" s="13" t="s">
        <v>115</v>
      </c>
      <c r="C44" s="13" t="s">
        <v>46</v>
      </c>
      <c r="D44" s="13" t="s">
        <v>75</v>
      </c>
      <c r="E44" s="14">
        <v>110</v>
      </c>
      <c r="F44" s="13" t="s">
        <v>109</v>
      </c>
    </row>
    <row r="45" spans="1:6" x14ac:dyDescent="0.3">
      <c r="A45" s="13" t="s">
        <v>90</v>
      </c>
      <c r="B45" s="13" t="s">
        <v>116</v>
      </c>
      <c r="C45" s="13" t="s">
        <v>46</v>
      </c>
      <c r="D45" s="13" t="s">
        <v>75</v>
      </c>
      <c r="E45" s="14">
        <v>110</v>
      </c>
      <c r="F45" s="13" t="s">
        <v>48</v>
      </c>
    </row>
    <row r="46" spans="1:6" x14ac:dyDescent="0.3">
      <c r="A46" s="13" t="s">
        <v>90</v>
      </c>
      <c r="B46" s="13" t="s">
        <v>117</v>
      </c>
      <c r="C46" s="13" t="s">
        <v>46</v>
      </c>
      <c r="D46" s="13" t="s">
        <v>75</v>
      </c>
      <c r="E46" s="14">
        <v>110</v>
      </c>
      <c r="F46" s="13" t="s">
        <v>51</v>
      </c>
    </row>
    <row r="47" spans="1:6" x14ac:dyDescent="0.3">
      <c r="A47" s="13" t="s">
        <v>90</v>
      </c>
      <c r="B47" s="13" t="s">
        <v>118</v>
      </c>
      <c r="C47" s="13" t="s">
        <v>46</v>
      </c>
      <c r="D47" s="13" t="s">
        <v>75</v>
      </c>
      <c r="E47" s="14">
        <v>110</v>
      </c>
      <c r="F47" s="13" t="s">
        <v>51</v>
      </c>
    </row>
    <row r="48" spans="1:6" x14ac:dyDescent="0.3">
      <c r="A48" s="13" t="s">
        <v>90</v>
      </c>
      <c r="B48" s="13" t="s">
        <v>119</v>
      </c>
      <c r="C48" s="13" t="s">
        <v>46</v>
      </c>
      <c r="D48" s="13" t="s">
        <v>75</v>
      </c>
      <c r="E48" s="14">
        <v>110</v>
      </c>
      <c r="F48" s="13" t="s">
        <v>51</v>
      </c>
    </row>
    <row r="49" spans="1:6" x14ac:dyDescent="0.3">
      <c r="A49" s="13" t="s">
        <v>90</v>
      </c>
      <c r="B49" s="13" t="s">
        <v>120</v>
      </c>
      <c r="C49" s="13" t="s">
        <v>46</v>
      </c>
      <c r="D49" s="13" t="s">
        <v>75</v>
      </c>
      <c r="E49" s="14">
        <v>110</v>
      </c>
      <c r="F49" s="13" t="s">
        <v>51</v>
      </c>
    </row>
    <row r="50" spans="1:6" x14ac:dyDescent="0.3">
      <c r="A50" s="13" t="s">
        <v>90</v>
      </c>
      <c r="B50" s="13" t="s">
        <v>121</v>
      </c>
      <c r="C50" s="13" t="s">
        <v>46</v>
      </c>
      <c r="D50" s="13" t="s">
        <v>75</v>
      </c>
      <c r="E50" s="14">
        <v>110</v>
      </c>
      <c r="F50" s="13" t="s">
        <v>122</v>
      </c>
    </row>
    <row r="51" spans="1:6" x14ac:dyDescent="0.3">
      <c r="A51" s="13" t="s">
        <v>90</v>
      </c>
      <c r="B51" s="13" t="s">
        <v>123</v>
      </c>
      <c r="C51" s="13" t="s">
        <v>46</v>
      </c>
      <c r="D51" s="13" t="s">
        <v>75</v>
      </c>
      <c r="E51" s="14">
        <v>110</v>
      </c>
      <c r="F51" s="13" t="s">
        <v>124</v>
      </c>
    </row>
    <row r="52" spans="1:6" x14ac:dyDescent="0.3">
      <c r="A52" s="13" t="s">
        <v>90</v>
      </c>
      <c r="B52" s="13" t="s">
        <v>125</v>
      </c>
      <c r="C52" s="13" t="s">
        <v>46</v>
      </c>
      <c r="D52" s="13" t="s">
        <v>75</v>
      </c>
      <c r="E52" s="14">
        <v>110</v>
      </c>
      <c r="F52" s="13" t="s">
        <v>126</v>
      </c>
    </row>
    <row r="53" spans="1:6" x14ac:dyDescent="0.3">
      <c r="A53" s="13" t="s">
        <v>127</v>
      </c>
      <c r="B53" s="13" t="s">
        <v>128</v>
      </c>
      <c r="C53" s="13" t="s">
        <v>46</v>
      </c>
      <c r="D53" s="13" t="s">
        <v>75</v>
      </c>
      <c r="E53" s="14">
        <v>110</v>
      </c>
      <c r="F53" s="13" t="s">
        <v>51</v>
      </c>
    </row>
    <row r="54" spans="1:6" x14ac:dyDescent="0.3">
      <c r="A54" s="13" t="s">
        <v>127</v>
      </c>
      <c r="B54" s="13" t="s">
        <v>129</v>
      </c>
      <c r="C54" s="13" t="s">
        <v>46</v>
      </c>
      <c r="D54" s="13" t="s">
        <v>75</v>
      </c>
      <c r="E54" s="14">
        <v>110</v>
      </c>
      <c r="F54" s="13" t="s">
        <v>51</v>
      </c>
    </row>
    <row r="55" spans="1:6" x14ac:dyDescent="0.3">
      <c r="A55" s="13" t="s">
        <v>130</v>
      </c>
      <c r="B55" s="13" t="s">
        <v>131</v>
      </c>
      <c r="C55" s="13" t="s">
        <v>46</v>
      </c>
      <c r="D55" s="13" t="s">
        <v>75</v>
      </c>
      <c r="E55" s="14">
        <v>110</v>
      </c>
      <c r="F55" s="13" t="s">
        <v>51</v>
      </c>
    </row>
    <row r="56" spans="1:6" x14ac:dyDescent="0.3">
      <c r="A56" s="13" t="s">
        <v>130</v>
      </c>
      <c r="B56" s="13" t="s">
        <v>132</v>
      </c>
      <c r="C56" s="13" t="s">
        <v>46</v>
      </c>
      <c r="D56" s="13" t="s">
        <v>75</v>
      </c>
      <c r="E56" s="14">
        <v>110</v>
      </c>
      <c r="F56" s="13" t="s">
        <v>51</v>
      </c>
    </row>
    <row r="57" spans="1:6" x14ac:dyDescent="0.3">
      <c r="A57" s="13" t="s">
        <v>130</v>
      </c>
      <c r="B57" s="13" t="s">
        <v>133</v>
      </c>
      <c r="C57" s="13" t="s">
        <v>46</v>
      </c>
      <c r="D57" s="13" t="s">
        <v>75</v>
      </c>
      <c r="E57" s="14">
        <v>110</v>
      </c>
      <c r="F57" s="13" t="s">
        <v>51</v>
      </c>
    </row>
    <row r="58" spans="1:6" x14ac:dyDescent="0.3">
      <c r="A58" s="13" t="s">
        <v>130</v>
      </c>
      <c r="B58" s="13" t="s">
        <v>134</v>
      </c>
      <c r="C58" s="13" t="s">
        <v>46</v>
      </c>
      <c r="D58" s="13" t="s">
        <v>75</v>
      </c>
      <c r="E58" s="14">
        <v>110</v>
      </c>
      <c r="F58" s="13" t="s">
        <v>135</v>
      </c>
    </row>
    <row r="59" spans="1:6" x14ac:dyDescent="0.3">
      <c r="A59" s="13" t="s">
        <v>136</v>
      </c>
      <c r="B59" s="13" t="s">
        <v>137</v>
      </c>
      <c r="C59" s="13" t="s">
        <v>46</v>
      </c>
      <c r="D59" s="13" t="s">
        <v>75</v>
      </c>
      <c r="E59" s="14">
        <v>110</v>
      </c>
      <c r="F59" s="13" t="s">
        <v>51</v>
      </c>
    </row>
    <row r="60" spans="1:6" x14ac:dyDescent="0.3">
      <c r="A60" s="13" t="s">
        <v>138</v>
      </c>
      <c r="B60" s="13" t="s">
        <v>139</v>
      </c>
      <c r="C60" s="13" t="s">
        <v>46</v>
      </c>
      <c r="D60" s="13" t="s">
        <v>75</v>
      </c>
      <c r="E60" s="14">
        <v>110</v>
      </c>
      <c r="F60" s="13" t="s">
        <v>51</v>
      </c>
    </row>
    <row r="61" spans="1:6" x14ac:dyDescent="0.3">
      <c r="A61" s="13" t="s">
        <v>140</v>
      </c>
      <c r="B61" s="13" t="s">
        <v>141</v>
      </c>
      <c r="C61" s="13" t="s">
        <v>46</v>
      </c>
      <c r="D61" s="13" t="s">
        <v>75</v>
      </c>
      <c r="E61" s="14">
        <v>110</v>
      </c>
      <c r="F61" s="13" t="s">
        <v>101</v>
      </c>
    </row>
    <row r="62" spans="1:6" x14ac:dyDescent="0.3">
      <c r="A62" s="13" t="s">
        <v>140</v>
      </c>
      <c r="B62" s="13" t="s">
        <v>142</v>
      </c>
      <c r="C62" s="13" t="s">
        <v>46</v>
      </c>
      <c r="D62" s="13" t="s">
        <v>75</v>
      </c>
      <c r="E62" s="14">
        <v>110</v>
      </c>
      <c r="F62" s="13" t="s">
        <v>51</v>
      </c>
    </row>
    <row r="63" spans="1:6" x14ac:dyDescent="0.3">
      <c r="A63" s="13" t="s">
        <v>140</v>
      </c>
      <c r="B63" s="13" t="s">
        <v>143</v>
      </c>
      <c r="C63" s="13" t="s">
        <v>46</v>
      </c>
      <c r="D63" s="13" t="s">
        <v>75</v>
      </c>
      <c r="E63" s="14">
        <v>110</v>
      </c>
      <c r="F63" s="13" t="s">
        <v>144</v>
      </c>
    </row>
    <row r="64" spans="1:6" x14ac:dyDescent="0.3">
      <c r="A64" s="13" t="s">
        <v>140</v>
      </c>
      <c r="B64" s="13" t="s">
        <v>145</v>
      </c>
      <c r="C64" s="13" t="s">
        <v>46</v>
      </c>
      <c r="D64" s="13" t="s">
        <v>75</v>
      </c>
      <c r="E64" s="14">
        <v>110</v>
      </c>
      <c r="F64" s="13" t="s">
        <v>146</v>
      </c>
    </row>
    <row r="65" spans="1:6" x14ac:dyDescent="0.3">
      <c r="A65" s="13" t="s">
        <v>140</v>
      </c>
      <c r="B65" s="13" t="s">
        <v>147</v>
      </c>
      <c r="C65" s="13" t="s">
        <v>46</v>
      </c>
      <c r="D65" s="13" t="s">
        <v>75</v>
      </c>
      <c r="E65" s="14">
        <v>110</v>
      </c>
      <c r="F65" s="13" t="s">
        <v>58</v>
      </c>
    </row>
    <row r="66" spans="1:6" x14ac:dyDescent="0.3">
      <c r="A66" s="13" t="s">
        <v>140</v>
      </c>
      <c r="B66" s="13" t="s">
        <v>148</v>
      </c>
      <c r="C66" s="13" t="s">
        <v>46</v>
      </c>
      <c r="D66" s="13" t="s">
        <v>75</v>
      </c>
      <c r="E66" s="14">
        <v>110</v>
      </c>
      <c r="F66" s="13" t="s">
        <v>51</v>
      </c>
    </row>
    <row r="67" spans="1:6" x14ac:dyDescent="0.3">
      <c r="A67" s="13" t="s">
        <v>140</v>
      </c>
      <c r="B67" s="13" t="s">
        <v>149</v>
      </c>
      <c r="C67" s="13" t="s">
        <v>46</v>
      </c>
      <c r="D67" s="13" t="s">
        <v>75</v>
      </c>
      <c r="E67" s="14">
        <v>110</v>
      </c>
      <c r="F67" s="13" t="s">
        <v>51</v>
      </c>
    </row>
    <row r="68" spans="1:6" x14ac:dyDescent="0.3">
      <c r="A68" s="13" t="s">
        <v>140</v>
      </c>
      <c r="B68" s="13" t="s">
        <v>150</v>
      </c>
      <c r="C68" s="13" t="s">
        <v>46</v>
      </c>
      <c r="D68" s="13" t="s">
        <v>75</v>
      </c>
      <c r="E68" s="14">
        <v>110</v>
      </c>
      <c r="F68" s="13" t="s">
        <v>48</v>
      </c>
    </row>
    <row r="69" spans="1:6" x14ac:dyDescent="0.3">
      <c r="A69" s="13" t="s">
        <v>140</v>
      </c>
      <c r="B69" s="13" t="s">
        <v>151</v>
      </c>
      <c r="C69" s="13" t="s">
        <v>46</v>
      </c>
      <c r="D69" s="13" t="s">
        <v>75</v>
      </c>
      <c r="E69" s="14">
        <v>110</v>
      </c>
      <c r="F69" s="13" t="s">
        <v>87</v>
      </c>
    </row>
    <row r="70" spans="1:6" x14ac:dyDescent="0.3">
      <c r="A70" s="13" t="s">
        <v>140</v>
      </c>
      <c r="B70" s="13" t="s">
        <v>152</v>
      </c>
      <c r="C70" s="13" t="s">
        <v>46</v>
      </c>
      <c r="D70" s="13" t="s">
        <v>75</v>
      </c>
      <c r="E70" s="14">
        <v>110</v>
      </c>
      <c r="F70" s="13" t="s">
        <v>51</v>
      </c>
    </row>
    <row r="71" spans="1:6" x14ac:dyDescent="0.3">
      <c r="A71" s="13" t="s">
        <v>140</v>
      </c>
      <c r="B71" s="13" t="s">
        <v>153</v>
      </c>
      <c r="C71" s="13" t="s">
        <v>46</v>
      </c>
      <c r="D71" s="13" t="s">
        <v>75</v>
      </c>
      <c r="E71" s="14">
        <v>110</v>
      </c>
      <c r="F71" s="13" t="s">
        <v>87</v>
      </c>
    </row>
    <row r="72" spans="1:6" x14ac:dyDescent="0.3">
      <c r="A72" s="13" t="s">
        <v>140</v>
      </c>
      <c r="B72" s="13" t="s">
        <v>154</v>
      </c>
      <c r="C72" s="13" t="s">
        <v>46</v>
      </c>
      <c r="D72" s="13" t="s">
        <v>75</v>
      </c>
      <c r="E72" s="14">
        <v>110</v>
      </c>
      <c r="F72" s="13" t="s">
        <v>105</v>
      </c>
    </row>
    <row r="73" spans="1:6" x14ac:dyDescent="0.3">
      <c r="A73" s="13" t="s">
        <v>140</v>
      </c>
      <c r="B73" s="13" t="s">
        <v>155</v>
      </c>
      <c r="C73" s="13" t="s">
        <v>46</v>
      </c>
      <c r="D73" s="13" t="s">
        <v>75</v>
      </c>
      <c r="E73" s="14">
        <v>110</v>
      </c>
      <c r="F73" s="13" t="s">
        <v>51</v>
      </c>
    </row>
    <row r="74" spans="1:6" x14ac:dyDescent="0.3">
      <c r="A74" s="13" t="s">
        <v>140</v>
      </c>
      <c r="B74" s="13" t="s">
        <v>156</v>
      </c>
      <c r="C74" s="13" t="s">
        <v>46</v>
      </c>
      <c r="D74" s="13" t="s">
        <v>75</v>
      </c>
      <c r="E74" s="14">
        <v>110</v>
      </c>
      <c r="F74" s="13" t="s">
        <v>51</v>
      </c>
    </row>
    <row r="75" spans="1:6" x14ac:dyDescent="0.3">
      <c r="A75" s="13" t="s">
        <v>140</v>
      </c>
      <c r="B75" s="13" t="s">
        <v>157</v>
      </c>
      <c r="C75" s="13" t="s">
        <v>46</v>
      </c>
      <c r="D75" s="13" t="s">
        <v>75</v>
      </c>
      <c r="E75" s="14">
        <v>110</v>
      </c>
      <c r="F75" s="13" t="s">
        <v>51</v>
      </c>
    </row>
    <row r="76" spans="1:6" x14ac:dyDescent="0.3">
      <c r="A76" s="13" t="s">
        <v>140</v>
      </c>
      <c r="B76" s="13" t="s">
        <v>158</v>
      </c>
      <c r="C76" s="13" t="s">
        <v>46</v>
      </c>
      <c r="D76" s="13" t="s">
        <v>75</v>
      </c>
      <c r="E76" s="14">
        <v>110</v>
      </c>
      <c r="F76" s="13" t="s">
        <v>64</v>
      </c>
    </row>
    <row r="77" spans="1:6" x14ac:dyDescent="0.3">
      <c r="A77" s="13" t="s">
        <v>140</v>
      </c>
      <c r="B77" s="13" t="s">
        <v>159</v>
      </c>
      <c r="C77" s="13" t="s">
        <v>46</v>
      </c>
      <c r="D77" s="13" t="s">
        <v>75</v>
      </c>
      <c r="E77" s="14">
        <v>110</v>
      </c>
      <c r="F77" s="13" t="s">
        <v>160</v>
      </c>
    </row>
    <row r="78" spans="1:6" x14ac:dyDescent="0.3">
      <c r="A78" s="13" t="s">
        <v>140</v>
      </c>
      <c r="B78" s="13" t="s">
        <v>161</v>
      </c>
      <c r="C78" s="13" t="s">
        <v>46</v>
      </c>
      <c r="D78" s="13" t="s">
        <v>75</v>
      </c>
      <c r="E78" s="14">
        <v>110</v>
      </c>
      <c r="F78" s="13" t="s">
        <v>162</v>
      </c>
    </row>
    <row r="79" spans="1:6" x14ac:dyDescent="0.3">
      <c r="A79" s="13" t="s">
        <v>140</v>
      </c>
      <c r="B79" s="13" t="s">
        <v>163</v>
      </c>
      <c r="C79" s="13" t="s">
        <v>46</v>
      </c>
      <c r="D79" s="13" t="s">
        <v>75</v>
      </c>
      <c r="E79" s="14">
        <v>110</v>
      </c>
      <c r="F79" s="13" t="s">
        <v>64</v>
      </c>
    </row>
    <row r="80" spans="1:6" x14ac:dyDescent="0.3">
      <c r="A80" s="13" t="s">
        <v>140</v>
      </c>
      <c r="B80" s="13" t="s">
        <v>164</v>
      </c>
      <c r="C80" s="13" t="s">
        <v>46</v>
      </c>
      <c r="D80" s="13" t="s">
        <v>75</v>
      </c>
      <c r="E80" s="14">
        <v>110</v>
      </c>
      <c r="F80" s="13" t="s">
        <v>64</v>
      </c>
    </row>
    <row r="81" spans="1:6" x14ac:dyDescent="0.3">
      <c r="A81" s="13" t="s">
        <v>140</v>
      </c>
      <c r="B81" s="13" t="s">
        <v>165</v>
      </c>
      <c r="C81" s="13" t="s">
        <v>46</v>
      </c>
      <c r="D81" s="13" t="s">
        <v>75</v>
      </c>
      <c r="E81" s="14">
        <v>110</v>
      </c>
      <c r="F81" s="13" t="s">
        <v>166</v>
      </c>
    </row>
    <row r="82" spans="1:6" x14ac:dyDescent="0.3">
      <c r="A82" s="13" t="s">
        <v>140</v>
      </c>
      <c r="B82" s="13" t="s">
        <v>167</v>
      </c>
      <c r="C82" s="13" t="s">
        <v>46</v>
      </c>
      <c r="D82" s="13" t="s">
        <v>75</v>
      </c>
      <c r="E82" s="14">
        <v>110</v>
      </c>
      <c r="F82" s="13" t="s">
        <v>64</v>
      </c>
    </row>
    <row r="83" spans="1:6" x14ac:dyDescent="0.3">
      <c r="A83" s="13" t="s">
        <v>140</v>
      </c>
      <c r="B83" s="13" t="s">
        <v>168</v>
      </c>
      <c r="C83" s="13" t="s">
        <v>46</v>
      </c>
      <c r="D83" s="13" t="s">
        <v>75</v>
      </c>
      <c r="E83" s="14">
        <v>110</v>
      </c>
      <c r="F83" s="13" t="s">
        <v>51</v>
      </c>
    </row>
    <row r="84" spans="1:6" x14ac:dyDescent="0.3">
      <c r="A84" s="13" t="s">
        <v>169</v>
      </c>
      <c r="B84" s="13" t="s">
        <v>170</v>
      </c>
      <c r="C84" s="13" t="s">
        <v>46</v>
      </c>
      <c r="D84" s="13" t="s">
        <v>75</v>
      </c>
      <c r="E84" s="14">
        <v>110</v>
      </c>
      <c r="F84" s="13" t="s">
        <v>51</v>
      </c>
    </row>
    <row r="85" spans="1:6" x14ac:dyDescent="0.3">
      <c r="A85" s="13" t="s">
        <v>171</v>
      </c>
      <c r="B85" s="13" t="s">
        <v>172</v>
      </c>
      <c r="C85" s="13" t="s">
        <v>46</v>
      </c>
      <c r="D85" s="13" t="s">
        <v>75</v>
      </c>
      <c r="E85" s="14">
        <v>110</v>
      </c>
      <c r="F85" s="13" t="s">
        <v>87</v>
      </c>
    </row>
    <row r="86" spans="1:6" x14ac:dyDescent="0.3">
      <c r="A86" s="13" t="s">
        <v>171</v>
      </c>
      <c r="B86" s="13" t="s">
        <v>173</v>
      </c>
      <c r="C86" s="13" t="s">
        <v>46</v>
      </c>
      <c r="D86" s="13" t="s">
        <v>75</v>
      </c>
      <c r="E86" s="14">
        <v>110</v>
      </c>
      <c r="F86" s="13" t="s">
        <v>51</v>
      </c>
    </row>
    <row r="87" spans="1:6" x14ac:dyDescent="0.3">
      <c r="A87" s="13" t="s">
        <v>171</v>
      </c>
      <c r="B87" s="13" t="s">
        <v>174</v>
      </c>
      <c r="C87" s="13" t="s">
        <v>46</v>
      </c>
      <c r="D87" s="13" t="s">
        <v>75</v>
      </c>
      <c r="E87" s="14">
        <v>110</v>
      </c>
      <c r="F87" s="13" t="s">
        <v>51</v>
      </c>
    </row>
    <row r="88" spans="1:6" x14ac:dyDescent="0.3">
      <c r="A88" s="13" t="s">
        <v>175</v>
      </c>
      <c r="B88" s="13" t="s">
        <v>176</v>
      </c>
      <c r="C88" s="13" t="s">
        <v>46</v>
      </c>
      <c r="D88" s="13" t="s">
        <v>75</v>
      </c>
      <c r="E88" s="14">
        <v>110</v>
      </c>
      <c r="F88" s="13" t="s">
        <v>177</v>
      </c>
    </row>
    <row r="89" spans="1:6" x14ac:dyDescent="0.3">
      <c r="A89" s="13" t="s">
        <v>175</v>
      </c>
      <c r="B89" s="13" t="s">
        <v>178</v>
      </c>
      <c r="C89" s="13" t="s">
        <v>46</v>
      </c>
      <c r="D89" s="13" t="s">
        <v>75</v>
      </c>
      <c r="E89" s="14">
        <v>110</v>
      </c>
      <c r="F89" s="13" t="s">
        <v>48</v>
      </c>
    </row>
    <row r="90" spans="1:6" x14ac:dyDescent="0.3">
      <c r="A90" s="13" t="s">
        <v>175</v>
      </c>
      <c r="B90" s="13" t="s">
        <v>179</v>
      </c>
      <c r="C90" s="13" t="s">
        <v>46</v>
      </c>
      <c r="D90" s="13" t="s">
        <v>75</v>
      </c>
      <c r="E90" s="14">
        <v>110</v>
      </c>
      <c r="F90" s="13" t="s">
        <v>109</v>
      </c>
    </row>
    <row r="91" spans="1:6" x14ac:dyDescent="0.3">
      <c r="A91" s="13" t="s">
        <v>175</v>
      </c>
      <c r="B91" s="13" t="s">
        <v>180</v>
      </c>
      <c r="C91" s="13" t="s">
        <v>46</v>
      </c>
      <c r="D91" s="13" t="s">
        <v>75</v>
      </c>
      <c r="E91" s="14">
        <v>110</v>
      </c>
      <c r="F91" s="13" t="s">
        <v>109</v>
      </c>
    </row>
    <row r="92" spans="1:6" x14ac:dyDescent="0.3">
      <c r="A92" s="13" t="s">
        <v>175</v>
      </c>
      <c r="B92" s="13" t="s">
        <v>181</v>
      </c>
      <c r="C92" s="13" t="s">
        <v>46</v>
      </c>
      <c r="D92" s="13" t="s">
        <v>75</v>
      </c>
      <c r="E92" s="14">
        <v>110</v>
      </c>
      <c r="F92" s="13" t="s">
        <v>51</v>
      </c>
    </row>
    <row r="93" spans="1:6" x14ac:dyDescent="0.3">
      <c r="A93" s="13" t="s">
        <v>175</v>
      </c>
      <c r="B93" s="13" t="s">
        <v>182</v>
      </c>
      <c r="C93" s="13" t="s">
        <v>46</v>
      </c>
      <c r="D93" s="13" t="s">
        <v>75</v>
      </c>
      <c r="E93" s="14">
        <v>110</v>
      </c>
      <c r="F93" s="13" t="s">
        <v>51</v>
      </c>
    </row>
    <row r="94" spans="1:6" x14ac:dyDescent="0.3">
      <c r="A94" s="13" t="s">
        <v>175</v>
      </c>
      <c r="B94" s="13" t="s">
        <v>183</v>
      </c>
      <c r="C94" s="13" t="s">
        <v>46</v>
      </c>
      <c r="D94" s="13" t="s">
        <v>75</v>
      </c>
      <c r="E94" s="14">
        <v>110</v>
      </c>
      <c r="F94" s="13" t="s">
        <v>51</v>
      </c>
    </row>
    <row r="95" spans="1:6" x14ac:dyDescent="0.3">
      <c r="A95" s="13" t="s">
        <v>175</v>
      </c>
      <c r="B95" s="13" t="s">
        <v>184</v>
      </c>
      <c r="C95" s="13" t="s">
        <v>46</v>
      </c>
      <c r="D95" s="13" t="s">
        <v>75</v>
      </c>
      <c r="E95" s="14">
        <v>110</v>
      </c>
      <c r="F95" s="13" t="s">
        <v>185</v>
      </c>
    </row>
    <row r="96" spans="1:6" x14ac:dyDescent="0.3">
      <c r="A96" s="13" t="s">
        <v>186</v>
      </c>
      <c r="B96" s="13" t="s">
        <v>187</v>
      </c>
      <c r="C96" s="13" t="s">
        <v>46</v>
      </c>
      <c r="D96" s="13" t="s">
        <v>75</v>
      </c>
      <c r="E96" s="14">
        <v>110</v>
      </c>
      <c r="F96" s="13" t="s">
        <v>188</v>
      </c>
    </row>
    <row r="97" spans="1:6" x14ac:dyDescent="0.3">
      <c r="A97" s="13" t="s">
        <v>186</v>
      </c>
      <c r="B97" s="13" t="s">
        <v>189</v>
      </c>
      <c r="C97" s="13" t="s">
        <v>46</v>
      </c>
      <c r="D97" s="13" t="s">
        <v>75</v>
      </c>
      <c r="E97" s="14">
        <v>110</v>
      </c>
      <c r="F97" s="13" t="s">
        <v>51</v>
      </c>
    </row>
    <row r="98" spans="1:6" x14ac:dyDescent="0.3">
      <c r="A98" s="13" t="s">
        <v>190</v>
      </c>
      <c r="B98" s="13" t="s">
        <v>191</v>
      </c>
      <c r="C98" s="13" t="s">
        <v>46</v>
      </c>
      <c r="D98" s="13" t="s">
        <v>75</v>
      </c>
      <c r="E98" s="14">
        <v>110</v>
      </c>
      <c r="F98" s="13" t="s">
        <v>48</v>
      </c>
    </row>
    <row r="99" spans="1:6" x14ac:dyDescent="0.3">
      <c r="A99" s="13" t="s">
        <v>190</v>
      </c>
      <c r="B99" s="13" t="s">
        <v>192</v>
      </c>
      <c r="C99" s="13" t="s">
        <v>46</v>
      </c>
      <c r="D99" s="13" t="s">
        <v>75</v>
      </c>
      <c r="E99" s="14">
        <v>110</v>
      </c>
      <c r="F99" s="13" t="s">
        <v>51</v>
      </c>
    </row>
    <row r="100" spans="1:6" x14ac:dyDescent="0.3">
      <c r="A100" s="13" t="s">
        <v>190</v>
      </c>
      <c r="B100" s="13" t="s">
        <v>193</v>
      </c>
      <c r="C100" s="13" t="s">
        <v>46</v>
      </c>
      <c r="D100" s="13" t="s">
        <v>75</v>
      </c>
      <c r="E100" s="14">
        <v>110</v>
      </c>
      <c r="F100" s="13" t="s">
        <v>87</v>
      </c>
    </row>
    <row r="101" spans="1:6" x14ac:dyDescent="0.3">
      <c r="A101" s="13" t="s">
        <v>190</v>
      </c>
      <c r="B101" s="13" t="s">
        <v>194</v>
      </c>
      <c r="C101" s="13" t="s">
        <v>46</v>
      </c>
      <c r="D101" s="13" t="s">
        <v>75</v>
      </c>
      <c r="E101" s="14">
        <v>110</v>
      </c>
      <c r="F101" s="13" t="s">
        <v>51</v>
      </c>
    </row>
    <row r="102" spans="1:6" x14ac:dyDescent="0.3">
      <c r="A102" s="13" t="s">
        <v>190</v>
      </c>
      <c r="B102" s="13" t="s">
        <v>195</v>
      </c>
      <c r="C102" s="13" t="s">
        <v>46</v>
      </c>
      <c r="D102" s="13" t="s">
        <v>75</v>
      </c>
      <c r="E102" s="14">
        <v>110</v>
      </c>
      <c r="F102" s="13" t="s">
        <v>51</v>
      </c>
    </row>
    <row r="103" spans="1:6" x14ac:dyDescent="0.3">
      <c r="A103" s="13" t="s">
        <v>62</v>
      </c>
      <c r="B103" s="13" t="s">
        <v>196</v>
      </c>
      <c r="C103" s="13" t="s">
        <v>197</v>
      </c>
      <c r="D103" s="13" t="s">
        <v>47</v>
      </c>
      <c r="E103" s="14">
        <v>74</v>
      </c>
      <c r="F103" s="13" t="s">
        <v>198</v>
      </c>
    </row>
    <row r="104" spans="1:6" x14ac:dyDescent="0.3">
      <c r="A104" s="13" t="s">
        <v>140</v>
      </c>
      <c r="B104" s="13" t="s">
        <v>199</v>
      </c>
      <c r="C104" s="13" t="s">
        <v>200</v>
      </c>
      <c r="D104" s="13" t="s">
        <v>75</v>
      </c>
      <c r="E104" s="14">
        <v>64</v>
      </c>
      <c r="F104" s="13" t="s">
        <v>51</v>
      </c>
    </row>
    <row r="105" spans="1:6" x14ac:dyDescent="0.3">
      <c r="A105" s="13" t="s">
        <v>53</v>
      </c>
      <c r="B105" s="13" t="s">
        <v>201</v>
      </c>
      <c r="C105" s="13" t="s">
        <v>202</v>
      </c>
      <c r="D105" s="13" t="s">
        <v>47</v>
      </c>
      <c r="E105" s="14">
        <v>268</v>
      </c>
      <c r="F105" s="13" t="s">
        <v>203</v>
      </c>
    </row>
    <row r="106" spans="1:6" x14ac:dyDescent="0.3">
      <c r="A106" s="13" t="s">
        <v>53</v>
      </c>
      <c r="B106" s="13" t="s">
        <v>204</v>
      </c>
      <c r="C106" s="13" t="s">
        <v>202</v>
      </c>
      <c r="D106" s="13" t="s">
        <v>47</v>
      </c>
      <c r="E106" s="14">
        <v>268</v>
      </c>
      <c r="F106" s="13" t="s">
        <v>205</v>
      </c>
    </row>
    <row r="107" spans="1:6" x14ac:dyDescent="0.3">
      <c r="A107" s="13" t="s">
        <v>53</v>
      </c>
      <c r="B107" s="13" t="s">
        <v>206</v>
      </c>
      <c r="C107" s="13" t="s">
        <v>202</v>
      </c>
      <c r="D107" s="13" t="s">
        <v>47</v>
      </c>
      <c r="E107" s="14">
        <v>268</v>
      </c>
      <c r="F107" s="13" t="s">
        <v>205</v>
      </c>
    </row>
    <row r="108" spans="1:6" x14ac:dyDescent="0.3">
      <c r="A108" s="13" t="s">
        <v>56</v>
      </c>
      <c r="B108" s="13" t="s">
        <v>207</v>
      </c>
      <c r="C108" s="13" t="s">
        <v>202</v>
      </c>
      <c r="D108" s="13" t="s">
        <v>47</v>
      </c>
      <c r="E108" s="14">
        <v>268</v>
      </c>
      <c r="F108" s="13" t="s">
        <v>205</v>
      </c>
    </row>
    <row r="109" spans="1:6" x14ac:dyDescent="0.3">
      <c r="A109" s="13" t="s">
        <v>56</v>
      </c>
      <c r="B109" s="13" t="s">
        <v>208</v>
      </c>
      <c r="C109" s="13" t="s">
        <v>202</v>
      </c>
      <c r="D109" s="13" t="s">
        <v>47</v>
      </c>
      <c r="E109" s="14">
        <v>268</v>
      </c>
      <c r="F109" s="13" t="s">
        <v>205</v>
      </c>
    </row>
    <row r="110" spans="1:6" x14ac:dyDescent="0.3">
      <c r="A110" s="13" t="s">
        <v>62</v>
      </c>
      <c r="B110" s="13" t="s">
        <v>209</v>
      </c>
      <c r="C110" s="13" t="s">
        <v>202</v>
      </c>
      <c r="D110" s="13" t="s">
        <v>47</v>
      </c>
      <c r="E110" s="14">
        <v>268</v>
      </c>
      <c r="F110" s="13" t="s">
        <v>210</v>
      </c>
    </row>
    <row r="111" spans="1:6" x14ac:dyDescent="0.3">
      <c r="A111" s="13" t="s">
        <v>62</v>
      </c>
      <c r="B111" s="13" t="s">
        <v>211</v>
      </c>
      <c r="C111" s="13" t="s">
        <v>202</v>
      </c>
      <c r="D111" s="13" t="s">
        <v>47</v>
      </c>
      <c r="E111" s="14">
        <v>268</v>
      </c>
      <c r="F111" s="13" t="s">
        <v>212</v>
      </c>
    </row>
    <row r="112" spans="1:6" x14ac:dyDescent="0.3">
      <c r="A112" s="13" t="s">
        <v>62</v>
      </c>
      <c r="B112" s="13" t="s">
        <v>213</v>
      </c>
      <c r="C112" s="13" t="s">
        <v>202</v>
      </c>
      <c r="D112" s="13" t="s">
        <v>47</v>
      </c>
      <c r="E112" s="14">
        <v>268</v>
      </c>
      <c r="F112" s="13" t="s">
        <v>210</v>
      </c>
    </row>
    <row r="113" spans="1:6" x14ac:dyDescent="0.3">
      <c r="A113" s="13" t="s">
        <v>62</v>
      </c>
      <c r="B113" s="13" t="s">
        <v>214</v>
      </c>
      <c r="C113" s="13" t="s">
        <v>202</v>
      </c>
      <c r="D113" s="13" t="s">
        <v>47</v>
      </c>
      <c r="E113" s="14">
        <v>268</v>
      </c>
      <c r="F113" s="13" t="s">
        <v>210</v>
      </c>
    </row>
    <row r="114" spans="1:6" x14ac:dyDescent="0.3">
      <c r="A114" s="13" t="s">
        <v>62</v>
      </c>
      <c r="B114" s="13" t="s">
        <v>215</v>
      </c>
      <c r="C114" s="13" t="s">
        <v>202</v>
      </c>
      <c r="D114" s="13" t="s">
        <v>47</v>
      </c>
      <c r="E114" s="14">
        <v>268</v>
      </c>
      <c r="F114" s="13" t="s">
        <v>216</v>
      </c>
    </row>
    <row r="115" spans="1:6" x14ac:dyDescent="0.3">
      <c r="A115" s="13" t="s">
        <v>62</v>
      </c>
      <c r="B115" s="13" t="s">
        <v>217</v>
      </c>
      <c r="C115" s="13" t="s">
        <v>202</v>
      </c>
      <c r="D115" s="13" t="s">
        <v>47</v>
      </c>
      <c r="E115" s="14">
        <v>268</v>
      </c>
      <c r="F115" s="13" t="s">
        <v>218</v>
      </c>
    </row>
    <row r="116" spans="1:6" x14ac:dyDescent="0.3">
      <c r="A116" s="13" t="s">
        <v>62</v>
      </c>
      <c r="B116" s="13" t="s">
        <v>219</v>
      </c>
      <c r="C116" s="13" t="s">
        <v>202</v>
      </c>
      <c r="D116" s="13" t="s">
        <v>47</v>
      </c>
      <c r="E116" s="14">
        <v>268</v>
      </c>
      <c r="F116" s="13" t="s">
        <v>220</v>
      </c>
    </row>
    <row r="117" spans="1:6" x14ac:dyDescent="0.3">
      <c r="A117" s="13" t="s">
        <v>66</v>
      </c>
      <c r="B117" s="13" t="s">
        <v>221</v>
      </c>
      <c r="C117" s="13" t="s">
        <v>202</v>
      </c>
      <c r="D117" s="13" t="s">
        <v>47</v>
      </c>
      <c r="E117" s="14">
        <v>268</v>
      </c>
      <c r="F117" s="13" t="s">
        <v>210</v>
      </c>
    </row>
    <row r="118" spans="1:6" x14ac:dyDescent="0.3">
      <c r="A118" s="13" t="s">
        <v>66</v>
      </c>
      <c r="B118" s="13" t="s">
        <v>222</v>
      </c>
      <c r="C118" s="13" t="s">
        <v>202</v>
      </c>
      <c r="D118" s="13" t="s">
        <v>47</v>
      </c>
      <c r="E118" s="14">
        <v>268</v>
      </c>
      <c r="F118" s="13" t="s">
        <v>210</v>
      </c>
    </row>
    <row r="119" spans="1:6" x14ac:dyDescent="0.3">
      <c r="A119" s="13" t="s">
        <v>66</v>
      </c>
      <c r="B119" s="13" t="s">
        <v>223</v>
      </c>
      <c r="C119" s="13" t="s">
        <v>202</v>
      </c>
      <c r="D119" s="13" t="s">
        <v>47</v>
      </c>
      <c r="E119" s="14">
        <v>268</v>
      </c>
      <c r="F119" s="13" t="s">
        <v>210</v>
      </c>
    </row>
    <row r="120" spans="1:6" x14ac:dyDescent="0.3">
      <c r="A120" s="13" t="s">
        <v>66</v>
      </c>
      <c r="B120" s="13" t="s">
        <v>224</v>
      </c>
      <c r="C120" s="13" t="s">
        <v>202</v>
      </c>
      <c r="D120" s="13" t="s">
        <v>47</v>
      </c>
      <c r="E120" s="14">
        <v>268</v>
      </c>
      <c r="F120" s="13" t="s">
        <v>210</v>
      </c>
    </row>
    <row r="121" spans="1:6" x14ac:dyDescent="0.3">
      <c r="A121" s="13" t="s">
        <v>66</v>
      </c>
      <c r="B121" s="13" t="s">
        <v>225</v>
      </c>
      <c r="C121" s="13" t="s">
        <v>202</v>
      </c>
      <c r="D121" s="13" t="s">
        <v>47</v>
      </c>
      <c r="E121" s="14">
        <v>268</v>
      </c>
      <c r="F121" s="13" t="s">
        <v>210</v>
      </c>
    </row>
    <row r="122" spans="1:6" x14ac:dyDescent="0.3">
      <c r="A122" s="13" t="s">
        <v>66</v>
      </c>
      <c r="B122" s="13" t="s">
        <v>226</v>
      </c>
      <c r="C122" s="13" t="s">
        <v>202</v>
      </c>
      <c r="D122" s="13" t="s">
        <v>47</v>
      </c>
      <c r="E122" s="14">
        <v>268</v>
      </c>
      <c r="F122" s="13" t="s">
        <v>210</v>
      </c>
    </row>
    <row r="123" spans="1:6" x14ac:dyDescent="0.3">
      <c r="A123" s="13" t="s">
        <v>66</v>
      </c>
      <c r="B123" s="13" t="s">
        <v>227</v>
      </c>
      <c r="C123" s="13" t="s">
        <v>202</v>
      </c>
      <c r="D123" s="13" t="s">
        <v>47</v>
      </c>
      <c r="E123" s="14">
        <v>268</v>
      </c>
      <c r="F123" s="13" t="s">
        <v>210</v>
      </c>
    </row>
    <row r="124" spans="1:6" x14ac:dyDescent="0.3">
      <c r="A124" s="13" t="s">
        <v>66</v>
      </c>
      <c r="B124" s="13" t="s">
        <v>228</v>
      </c>
      <c r="C124" s="13" t="s">
        <v>202</v>
      </c>
      <c r="D124" s="13" t="s">
        <v>47</v>
      </c>
      <c r="E124" s="14">
        <v>268</v>
      </c>
      <c r="F124" s="13" t="s">
        <v>210</v>
      </c>
    </row>
    <row r="125" spans="1:6" x14ac:dyDescent="0.3">
      <c r="A125" s="13" t="s">
        <v>66</v>
      </c>
      <c r="B125" s="13" t="s">
        <v>229</v>
      </c>
      <c r="C125" s="13" t="s">
        <v>202</v>
      </c>
      <c r="D125" s="13" t="s">
        <v>47</v>
      </c>
      <c r="E125" s="14">
        <v>268</v>
      </c>
      <c r="F125" s="13" t="s">
        <v>210</v>
      </c>
    </row>
    <row r="126" spans="1:6" x14ac:dyDescent="0.3">
      <c r="A126" s="13" t="s">
        <v>66</v>
      </c>
      <c r="B126" s="13" t="s">
        <v>230</v>
      </c>
      <c r="C126" s="13" t="s">
        <v>202</v>
      </c>
      <c r="D126" s="13" t="s">
        <v>47</v>
      </c>
      <c r="E126" s="14">
        <v>268</v>
      </c>
      <c r="F126" s="13" t="s">
        <v>231</v>
      </c>
    </row>
    <row r="127" spans="1:6" x14ac:dyDescent="0.3">
      <c r="A127" s="13" t="s">
        <v>66</v>
      </c>
      <c r="B127" s="13" t="s">
        <v>232</v>
      </c>
      <c r="C127" s="13" t="s">
        <v>202</v>
      </c>
      <c r="D127" s="13" t="s">
        <v>47</v>
      </c>
      <c r="E127" s="14">
        <v>268</v>
      </c>
      <c r="F127" s="13" t="s">
        <v>210</v>
      </c>
    </row>
    <row r="128" spans="1:6" x14ac:dyDescent="0.3">
      <c r="A128" s="13" t="s">
        <v>66</v>
      </c>
      <c r="B128" s="13" t="s">
        <v>233</v>
      </c>
      <c r="C128" s="13" t="s">
        <v>202</v>
      </c>
      <c r="D128" s="13" t="s">
        <v>47</v>
      </c>
      <c r="E128" s="14">
        <v>268</v>
      </c>
      <c r="F128" s="13" t="s">
        <v>210</v>
      </c>
    </row>
    <row r="129" spans="1:6" x14ac:dyDescent="0.3">
      <c r="A129" s="13" t="s">
        <v>90</v>
      </c>
      <c r="B129" s="13" t="s">
        <v>234</v>
      </c>
      <c r="C129" s="13" t="s">
        <v>202</v>
      </c>
      <c r="D129" s="13" t="s">
        <v>75</v>
      </c>
      <c r="E129" s="14">
        <v>220</v>
      </c>
      <c r="F129" s="13" t="s">
        <v>205</v>
      </c>
    </row>
    <row r="130" spans="1:6" x14ac:dyDescent="0.3">
      <c r="A130" s="13" t="s">
        <v>90</v>
      </c>
      <c r="B130" s="13" t="s">
        <v>235</v>
      </c>
      <c r="C130" s="13" t="s">
        <v>202</v>
      </c>
      <c r="D130" s="13" t="s">
        <v>75</v>
      </c>
      <c r="E130" s="14">
        <v>220</v>
      </c>
      <c r="F130" s="13" t="s">
        <v>205</v>
      </c>
    </row>
    <row r="131" spans="1:6" x14ac:dyDescent="0.3">
      <c r="A131" s="13" t="s">
        <v>136</v>
      </c>
      <c r="B131" s="13" t="s">
        <v>236</v>
      </c>
      <c r="C131" s="13" t="s">
        <v>202</v>
      </c>
      <c r="D131" s="13" t="s">
        <v>75</v>
      </c>
      <c r="E131" s="14">
        <v>220</v>
      </c>
      <c r="F131" s="13" t="s">
        <v>210</v>
      </c>
    </row>
    <row r="132" spans="1:6" x14ac:dyDescent="0.3">
      <c r="A132" s="13" t="s">
        <v>237</v>
      </c>
      <c r="B132" s="13" t="s">
        <v>238</v>
      </c>
      <c r="C132" s="13" t="s">
        <v>202</v>
      </c>
      <c r="D132" s="13" t="s">
        <v>75</v>
      </c>
      <c r="E132" s="14">
        <v>220</v>
      </c>
      <c r="F132" s="13" t="s">
        <v>239</v>
      </c>
    </row>
    <row r="133" spans="1:6" x14ac:dyDescent="0.3">
      <c r="A133" s="13" t="s">
        <v>140</v>
      </c>
      <c r="B133" s="13" t="s">
        <v>240</v>
      </c>
      <c r="C133" s="13" t="s">
        <v>202</v>
      </c>
      <c r="D133" s="13" t="s">
        <v>75</v>
      </c>
      <c r="E133" s="14">
        <v>220</v>
      </c>
      <c r="F133" s="13" t="s">
        <v>220</v>
      </c>
    </row>
    <row r="134" spans="1:6" x14ac:dyDescent="0.3">
      <c r="A134" s="13" t="s">
        <v>140</v>
      </c>
      <c r="B134" s="13" t="s">
        <v>241</v>
      </c>
      <c r="C134" s="13" t="s">
        <v>202</v>
      </c>
      <c r="D134" s="13" t="s">
        <v>75</v>
      </c>
      <c r="E134" s="14">
        <v>220</v>
      </c>
      <c r="F134" s="13" t="s">
        <v>220</v>
      </c>
    </row>
    <row r="135" spans="1:6" x14ac:dyDescent="0.3">
      <c r="A135" s="13" t="s">
        <v>140</v>
      </c>
      <c r="B135" s="13" t="s">
        <v>242</v>
      </c>
      <c r="C135" s="13" t="s">
        <v>202</v>
      </c>
      <c r="D135" s="13" t="s">
        <v>75</v>
      </c>
      <c r="E135" s="14">
        <v>220</v>
      </c>
      <c r="F135" s="13" t="s">
        <v>220</v>
      </c>
    </row>
    <row r="136" spans="1:6" x14ac:dyDescent="0.3">
      <c r="A136" s="13" t="s">
        <v>140</v>
      </c>
      <c r="B136" s="13" t="s">
        <v>243</v>
      </c>
      <c r="C136" s="13" t="s">
        <v>202</v>
      </c>
      <c r="D136" s="13" t="s">
        <v>75</v>
      </c>
      <c r="E136" s="14">
        <v>220</v>
      </c>
      <c r="F136" s="13" t="s">
        <v>220</v>
      </c>
    </row>
    <row r="137" spans="1:6" x14ac:dyDescent="0.3">
      <c r="A137" s="13" t="s">
        <v>140</v>
      </c>
      <c r="B137" s="13" t="s">
        <v>244</v>
      </c>
      <c r="C137" s="13" t="s">
        <v>202</v>
      </c>
      <c r="D137" s="13" t="s">
        <v>75</v>
      </c>
      <c r="E137" s="14">
        <v>220</v>
      </c>
      <c r="F137" s="13" t="s">
        <v>220</v>
      </c>
    </row>
    <row r="138" spans="1:6" x14ac:dyDescent="0.3">
      <c r="A138" s="13" t="s">
        <v>140</v>
      </c>
      <c r="B138" s="13" t="s">
        <v>245</v>
      </c>
      <c r="C138" s="13" t="s">
        <v>202</v>
      </c>
      <c r="D138" s="13" t="s">
        <v>75</v>
      </c>
      <c r="E138" s="14">
        <v>220</v>
      </c>
      <c r="F138" s="13" t="s">
        <v>220</v>
      </c>
    </row>
    <row r="139" spans="1:6" x14ac:dyDescent="0.3">
      <c r="A139" s="13" t="s">
        <v>140</v>
      </c>
      <c r="B139" s="13" t="s">
        <v>246</v>
      </c>
      <c r="C139" s="13" t="s">
        <v>202</v>
      </c>
      <c r="D139" s="13" t="s">
        <v>75</v>
      </c>
      <c r="E139" s="14">
        <v>220</v>
      </c>
      <c r="F139" s="13" t="s">
        <v>220</v>
      </c>
    </row>
    <row r="140" spans="1:6" x14ac:dyDescent="0.3">
      <c r="A140" s="13" t="s">
        <v>140</v>
      </c>
      <c r="B140" s="13" t="s">
        <v>247</v>
      </c>
      <c r="C140" s="13" t="s">
        <v>202</v>
      </c>
      <c r="D140" s="13" t="s">
        <v>75</v>
      </c>
      <c r="E140" s="14">
        <v>220</v>
      </c>
      <c r="F140" s="13" t="s">
        <v>220</v>
      </c>
    </row>
    <row r="141" spans="1:6" x14ac:dyDescent="0.3">
      <c r="A141" s="13" t="s">
        <v>140</v>
      </c>
      <c r="B141" s="13" t="s">
        <v>248</v>
      </c>
      <c r="C141" s="13" t="s">
        <v>202</v>
      </c>
      <c r="D141" s="13" t="s">
        <v>75</v>
      </c>
      <c r="E141" s="14">
        <v>220</v>
      </c>
      <c r="F141" s="13" t="s">
        <v>220</v>
      </c>
    </row>
    <row r="142" spans="1:6" x14ac:dyDescent="0.3">
      <c r="A142" s="13" t="s">
        <v>140</v>
      </c>
      <c r="B142" s="13" t="s">
        <v>249</v>
      </c>
      <c r="C142" s="13" t="s">
        <v>202</v>
      </c>
      <c r="D142" s="13" t="s">
        <v>75</v>
      </c>
      <c r="E142" s="14">
        <v>220</v>
      </c>
      <c r="F142" s="13" t="s">
        <v>212</v>
      </c>
    </row>
    <row r="143" spans="1:6" x14ac:dyDescent="0.3">
      <c r="A143" s="13" t="s">
        <v>140</v>
      </c>
      <c r="B143" s="13" t="s">
        <v>250</v>
      </c>
      <c r="C143" s="13" t="s">
        <v>202</v>
      </c>
      <c r="D143" s="13" t="s">
        <v>75</v>
      </c>
      <c r="E143" s="14">
        <v>220</v>
      </c>
      <c r="F143" s="13" t="s">
        <v>212</v>
      </c>
    </row>
    <row r="144" spans="1:6" x14ac:dyDescent="0.3">
      <c r="A144" s="13" t="s">
        <v>140</v>
      </c>
      <c r="B144" s="13" t="s">
        <v>251</v>
      </c>
      <c r="C144" s="13" t="s">
        <v>202</v>
      </c>
      <c r="D144" s="13" t="s">
        <v>75</v>
      </c>
      <c r="E144" s="14">
        <v>220</v>
      </c>
      <c r="F144" s="13" t="s">
        <v>205</v>
      </c>
    </row>
    <row r="145" spans="1:6" x14ac:dyDescent="0.3">
      <c r="A145" s="13" t="s">
        <v>140</v>
      </c>
      <c r="B145" s="13" t="s">
        <v>252</v>
      </c>
      <c r="C145" s="13" t="s">
        <v>202</v>
      </c>
      <c r="D145" s="13" t="s">
        <v>75</v>
      </c>
      <c r="E145" s="14">
        <v>220</v>
      </c>
      <c r="F145" s="13" t="s">
        <v>205</v>
      </c>
    </row>
    <row r="146" spans="1:6" x14ac:dyDescent="0.3">
      <c r="A146" s="13" t="s">
        <v>140</v>
      </c>
      <c r="B146" s="13" t="s">
        <v>253</v>
      </c>
      <c r="C146" s="13" t="s">
        <v>202</v>
      </c>
      <c r="D146" s="13" t="s">
        <v>75</v>
      </c>
      <c r="E146" s="14">
        <v>220</v>
      </c>
      <c r="F146" s="13" t="s">
        <v>216</v>
      </c>
    </row>
    <row r="147" spans="1:6" x14ac:dyDescent="0.3">
      <c r="A147" s="13" t="s">
        <v>140</v>
      </c>
      <c r="B147" s="13" t="s">
        <v>254</v>
      </c>
      <c r="C147" s="13" t="s">
        <v>202</v>
      </c>
      <c r="D147" s="13" t="s">
        <v>75</v>
      </c>
      <c r="E147" s="14">
        <v>220</v>
      </c>
      <c r="F147" s="13" t="s">
        <v>205</v>
      </c>
    </row>
    <row r="148" spans="1:6" x14ac:dyDescent="0.3">
      <c r="A148" s="13" t="s">
        <v>140</v>
      </c>
      <c r="B148" s="13" t="s">
        <v>255</v>
      </c>
      <c r="C148" s="13" t="s">
        <v>202</v>
      </c>
      <c r="D148" s="13" t="s">
        <v>75</v>
      </c>
      <c r="E148" s="14">
        <v>220</v>
      </c>
      <c r="F148" s="13" t="s">
        <v>205</v>
      </c>
    </row>
    <row r="149" spans="1:6" x14ac:dyDescent="0.3">
      <c r="A149" s="13" t="s">
        <v>140</v>
      </c>
      <c r="B149" s="13" t="s">
        <v>256</v>
      </c>
      <c r="C149" s="13" t="s">
        <v>202</v>
      </c>
      <c r="D149" s="13" t="s">
        <v>75</v>
      </c>
      <c r="E149" s="14">
        <v>220</v>
      </c>
      <c r="F149" s="13" t="s">
        <v>205</v>
      </c>
    </row>
    <row r="150" spans="1:6" x14ac:dyDescent="0.3">
      <c r="A150" s="13" t="s">
        <v>140</v>
      </c>
      <c r="B150" s="13" t="s">
        <v>257</v>
      </c>
      <c r="C150" s="13" t="s">
        <v>202</v>
      </c>
      <c r="D150" s="13" t="s">
        <v>75</v>
      </c>
      <c r="E150" s="14">
        <v>220</v>
      </c>
      <c r="F150" s="13" t="s">
        <v>205</v>
      </c>
    </row>
    <row r="151" spans="1:6" x14ac:dyDescent="0.3">
      <c r="A151" s="13" t="s">
        <v>140</v>
      </c>
      <c r="B151" s="13" t="s">
        <v>258</v>
      </c>
      <c r="C151" s="13" t="s">
        <v>202</v>
      </c>
      <c r="D151" s="13" t="s">
        <v>75</v>
      </c>
      <c r="E151" s="14">
        <v>220</v>
      </c>
      <c r="F151" s="13" t="s">
        <v>205</v>
      </c>
    </row>
    <row r="152" spans="1:6" x14ac:dyDescent="0.3">
      <c r="A152" s="13" t="s">
        <v>140</v>
      </c>
      <c r="B152" s="13" t="s">
        <v>259</v>
      </c>
      <c r="C152" s="13" t="s">
        <v>202</v>
      </c>
      <c r="D152" s="13" t="s">
        <v>75</v>
      </c>
      <c r="E152" s="14">
        <v>220</v>
      </c>
      <c r="F152" s="13" t="s">
        <v>205</v>
      </c>
    </row>
    <row r="153" spans="1:6" x14ac:dyDescent="0.3">
      <c r="A153" s="13" t="s">
        <v>140</v>
      </c>
      <c r="B153" s="13" t="s">
        <v>260</v>
      </c>
      <c r="C153" s="13" t="s">
        <v>202</v>
      </c>
      <c r="D153" s="13" t="s">
        <v>75</v>
      </c>
      <c r="E153" s="14">
        <v>220</v>
      </c>
      <c r="F153" s="13" t="s">
        <v>216</v>
      </c>
    </row>
    <row r="154" spans="1:6" x14ac:dyDescent="0.3">
      <c r="A154" s="13" t="s">
        <v>140</v>
      </c>
      <c r="B154" s="13" t="s">
        <v>261</v>
      </c>
      <c r="C154" s="13" t="s">
        <v>202</v>
      </c>
      <c r="D154" s="13" t="s">
        <v>75</v>
      </c>
      <c r="E154" s="14">
        <v>220</v>
      </c>
      <c r="F154" s="13" t="s">
        <v>216</v>
      </c>
    </row>
    <row r="155" spans="1:6" x14ac:dyDescent="0.3">
      <c r="A155" s="13" t="s">
        <v>140</v>
      </c>
      <c r="B155" s="13" t="s">
        <v>262</v>
      </c>
      <c r="C155" s="13" t="s">
        <v>202</v>
      </c>
      <c r="D155" s="13" t="s">
        <v>75</v>
      </c>
      <c r="E155" s="14">
        <v>220</v>
      </c>
      <c r="F155" s="13" t="s">
        <v>263</v>
      </c>
    </row>
    <row r="156" spans="1:6" x14ac:dyDescent="0.3">
      <c r="A156" s="13" t="s">
        <v>140</v>
      </c>
      <c r="B156" s="13" t="s">
        <v>264</v>
      </c>
      <c r="C156" s="13" t="s">
        <v>202</v>
      </c>
      <c r="D156" s="13" t="s">
        <v>75</v>
      </c>
      <c r="E156" s="14">
        <v>220</v>
      </c>
      <c r="F156" s="13" t="s">
        <v>216</v>
      </c>
    </row>
    <row r="157" spans="1:6" x14ac:dyDescent="0.3">
      <c r="A157" s="13" t="s">
        <v>140</v>
      </c>
      <c r="B157" s="13" t="s">
        <v>265</v>
      </c>
      <c r="C157" s="13" t="s">
        <v>202</v>
      </c>
      <c r="D157" s="13" t="s">
        <v>75</v>
      </c>
      <c r="E157" s="14">
        <v>220</v>
      </c>
      <c r="F157" s="13" t="s">
        <v>220</v>
      </c>
    </row>
    <row r="158" spans="1:6" x14ac:dyDescent="0.3">
      <c r="A158" s="13" t="s">
        <v>140</v>
      </c>
      <c r="B158" s="13" t="s">
        <v>266</v>
      </c>
      <c r="C158" s="13" t="s">
        <v>202</v>
      </c>
      <c r="D158" s="13" t="s">
        <v>75</v>
      </c>
      <c r="E158" s="14">
        <v>220</v>
      </c>
      <c r="F158" s="13" t="s">
        <v>216</v>
      </c>
    </row>
    <row r="159" spans="1:6" x14ac:dyDescent="0.3">
      <c r="A159" s="13" t="s">
        <v>140</v>
      </c>
      <c r="B159" s="13" t="s">
        <v>267</v>
      </c>
      <c r="C159" s="13" t="s">
        <v>202</v>
      </c>
      <c r="D159" s="13" t="s">
        <v>75</v>
      </c>
      <c r="E159" s="14">
        <v>220</v>
      </c>
      <c r="F159" s="13" t="s">
        <v>205</v>
      </c>
    </row>
    <row r="160" spans="1:6" x14ac:dyDescent="0.3">
      <c r="A160" s="13" t="s">
        <v>140</v>
      </c>
      <c r="B160" s="13" t="s">
        <v>268</v>
      </c>
      <c r="C160" s="13" t="s">
        <v>202</v>
      </c>
      <c r="D160" s="13" t="s">
        <v>75</v>
      </c>
      <c r="E160" s="14">
        <v>220</v>
      </c>
      <c r="F160" s="13" t="s">
        <v>205</v>
      </c>
    </row>
    <row r="161" spans="1:6" x14ac:dyDescent="0.3">
      <c r="A161" s="13" t="s">
        <v>140</v>
      </c>
      <c r="B161" s="13" t="s">
        <v>269</v>
      </c>
      <c r="C161" s="13" t="s">
        <v>202</v>
      </c>
      <c r="D161" s="13" t="s">
        <v>75</v>
      </c>
      <c r="E161" s="14">
        <v>220</v>
      </c>
      <c r="F161" s="13" t="s">
        <v>205</v>
      </c>
    </row>
    <row r="162" spans="1:6" x14ac:dyDescent="0.3">
      <c r="A162" s="13" t="s">
        <v>140</v>
      </c>
      <c r="B162" s="13" t="s">
        <v>270</v>
      </c>
      <c r="C162" s="13" t="s">
        <v>202</v>
      </c>
      <c r="D162" s="13" t="s">
        <v>75</v>
      </c>
      <c r="E162" s="14">
        <v>220</v>
      </c>
      <c r="F162" s="13" t="s">
        <v>205</v>
      </c>
    </row>
    <row r="163" spans="1:6" x14ac:dyDescent="0.3">
      <c r="A163" s="13" t="s">
        <v>140</v>
      </c>
      <c r="B163" s="13" t="s">
        <v>271</v>
      </c>
      <c r="C163" s="13" t="s">
        <v>202</v>
      </c>
      <c r="D163" s="13" t="s">
        <v>75</v>
      </c>
      <c r="E163" s="14">
        <v>220</v>
      </c>
      <c r="F163" s="13" t="s">
        <v>216</v>
      </c>
    </row>
    <row r="164" spans="1:6" x14ac:dyDescent="0.3">
      <c r="A164" s="13" t="s">
        <v>272</v>
      </c>
      <c r="B164" s="13" t="s">
        <v>273</v>
      </c>
      <c r="C164" s="13" t="s">
        <v>202</v>
      </c>
      <c r="D164" s="13" t="s">
        <v>75</v>
      </c>
      <c r="E164" s="14">
        <v>220</v>
      </c>
      <c r="F164" s="13" t="s">
        <v>210</v>
      </c>
    </row>
    <row r="165" spans="1:6" x14ac:dyDescent="0.3">
      <c r="A165" s="13" t="s">
        <v>53</v>
      </c>
      <c r="B165" s="13" t="s">
        <v>274</v>
      </c>
      <c r="C165" s="13" t="s">
        <v>275</v>
      </c>
      <c r="D165" s="13" t="s">
        <v>47</v>
      </c>
      <c r="E165" s="14">
        <v>127</v>
      </c>
      <c r="F165" s="13" t="s">
        <v>205</v>
      </c>
    </row>
    <row r="166" spans="1:6" x14ac:dyDescent="0.3">
      <c r="A166" s="13" t="s">
        <v>53</v>
      </c>
      <c r="B166" s="13" t="s">
        <v>276</v>
      </c>
      <c r="C166" s="13" t="s">
        <v>275</v>
      </c>
      <c r="D166" s="13" t="s">
        <v>47</v>
      </c>
      <c r="E166" s="14">
        <v>127</v>
      </c>
      <c r="F166" s="13" t="s">
        <v>205</v>
      </c>
    </row>
    <row r="167" spans="1:6" x14ac:dyDescent="0.3">
      <c r="A167" s="13" t="s">
        <v>53</v>
      </c>
      <c r="B167" s="13" t="s">
        <v>277</v>
      </c>
      <c r="C167" s="13" t="s">
        <v>275</v>
      </c>
      <c r="D167" s="13" t="s">
        <v>47</v>
      </c>
      <c r="E167" s="14">
        <v>127</v>
      </c>
      <c r="F167" s="13" t="s">
        <v>278</v>
      </c>
    </row>
    <row r="168" spans="1:6" x14ac:dyDescent="0.3">
      <c r="A168" s="13" t="s">
        <v>53</v>
      </c>
      <c r="B168" s="13" t="s">
        <v>279</v>
      </c>
      <c r="C168" s="13" t="s">
        <v>275</v>
      </c>
      <c r="D168" s="13" t="s">
        <v>47</v>
      </c>
      <c r="E168" s="14">
        <v>127</v>
      </c>
      <c r="F168" s="13" t="s">
        <v>280</v>
      </c>
    </row>
    <row r="169" spans="1:6" x14ac:dyDescent="0.3">
      <c r="A169" s="13" t="s">
        <v>62</v>
      </c>
      <c r="B169" s="13" t="s">
        <v>281</v>
      </c>
      <c r="C169" s="13" t="s">
        <v>275</v>
      </c>
      <c r="D169" s="13" t="s">
        <v>47</v>
      </c>
      <c r="E169" s="14">
        <v>127</v>
      </c>
      <c r="F169" s="13" t="s">
        <v>210</v>
      </c>
    </row>
    <row r="170" spans="1:6" x14ac:dyDescent="0.3">
      <c r="A170" s="13" t="s">
        <v>62</v>
      </c>
      <c r="B170" s="13" t="s">
        <v>282</v>
      </c>
      <c r="C170" s="13" t="s">
        <v>275</v>
      </c>
      <c r="D170" s="13" t="s">
        <v>47</v>
      </c>
      <c r="E170" s="14">
        <v>127</v>
      </c>
      <c r="F170" s="13" t="s">
        <v>212</v>
      </c>
    </row>
    <row r="171" spans="1:6" x14ac:dyDescent="0.3">
      <c r="A171" s="13" t="s">
        <v>62</v>
      </c>
      <c r="B171" s="13" t="s">
        <v>283</v>
      </c>
      <c r="C171" s="13" t="s">
        <v>275</v>
      </c>
      <c r="D171" s="13" t="s">
        <v>47</v>
      </c>
      <c r="E171" s="14">
        <v>127</v>
      </c>
      <c r="F171" s="13" t="s">
        <v>220</v>
      </c>
    </row>
    <row r="172" spans="1:6" x14ac:dyDescent="0.3">
      <c r="A172" s="13" t="s">
        <v>66</v>
      </c>
      <c r="B172" s="13" t="s">
        <v>284</v>
      </c>
      <c r="C172" s="13" t="s">
        <v>275</v>
      </c>
      <c r="D172" s="13" t="s">
        <v>47</v>
      </c>
      <c r="E172" s="14">
        <v>127</v>
      </c>
      <c r="F172" s="13" t="s">
        <v>285</v>
      </c>
    </row>
    <row r="173" spans="1:6" x14ac:dyDescent="0.3">
      <c r="A173" s="13" t="s">
        <v>66</v>
      </c>
      <c r="B173" s="13" t="s">
        <v>286</v>
      </c>
      <c r="C173" s="13" t="s">
        <v>275</v>
      </c>
      <c r="D173" s="13" t="s">
        <v>47</v>
      </c>
      <c r="E173" s="14">
        <v>127</v>
      </c>
      <c r="F173" s="13" t="s">
        <v>210</v>
      </c>
    </row>
    <row r="174" spans="1:6" x14ac:dyDescent="0.3">
      <c r="A174" s="13" t="s">
        <v>66</v>
      </c>
      <c r="B174" s="13" t="s">
        <v>287</v>
      </c>
      <c r="C174" s="13" t="s">
        <v>275</v>
      </c>
      <c r="D174" s="13" t="s">
        <v>47</v>
      </c>
      <c r="E174" s="14">
        <v>127</v>
      </c>
      <c r="F174" s="13" t="s">
        <v>210</v>
      </c>
    </row>
    <row r="175" spans="1:6" x14ac:dyDescent="0.3">
      <c r="A175" s="13" t="s">
        <v>76</v>
      </c>
      <c r="B175" s="13" t="s">
        <v>288</v>
      </c>
      <c r="C175" s="13" t="s">
        <v>289</v>
      </c>
      <c r="D175" s="13" t="s">
        <v>75</v>
      </c>
      <c r="E175" s="14">
        <v>108</v>
      </c>
      <c r="F175" s="13" t="s">
        <v>205</v>
      </c>
    </row>
    <row r="176" spans="1:6" x14ac:dyDescent="0.3">
      <c r="A176" s="13" t="s">
        <v>78</v>
      </c>
      <c r="B176" s="13" t="s">
        <v>290</v>
      </c>
      <c r="C176" s="13" t="s">
        <v>289</v>
      </c>
      <c r="D176" s="13" t="s">
        <v>75</v>
      </c>
      <c r="E176" s="14">
        <v>108</v>
      </c>
      <c r="F176" s="13" t="s">
        <v>291</v>
      </c>
    </row>
    <row r="177" spans="1:6" x14ac:dyDescent="0.3">
      <c r="A177" s="13" t="s">
        <v>90</v>
      </c>
      <c r="B177" s="13" t="s">
        <v>292</v>
      </c>
      <c r="C177" s="13" t="s">
        <v>289</v>
      </c>
      <c r="D177" s="13" t="s">
        <v>75</v>
      </c>
      <c r="E177" s="14">
        <v>108</v>
      </c>
      <c r="F177" s="13" t="s">
        <v>205</v>
      </c>
    </row>
    <row r="178" spans="1:6" x14ac:dyDescent="0.3">
      <c r="A178" s="13" t="s">
        <v>140</v>
      </c>
      <c r="B178" s="13" t="s">
        <v>293</v>
      </c>
      <c r="C178" s="13" t="s">
        <v>289</v>
      </c>
      <c r="D178" s="13" t="s">
        <v>75</v>
      </c>
      <c r="E178" s="14">
        <v>108</v>
      </c>
      <c r="F178" s="13" t="s">
        <v>220</v>
      </c>
    </row>
    <row r="179" spans="1:6" x14ac:dyDescent="0.3">
      <c r="A179" s="13" t="s">
        <v>140</v>
      </c>
      <c r="B179" s="13" t="s">
        <v>294</v>
      </c>
      <c r="C179" s="13" t="s">
        <v>289</v>
      </c>
      <c r="D179" s="13" t="s">
        <v>75</v>
      </c>
      <c r="E179" s="14">
        <v>108</v>
      </c>
      <c r="F179" s="13" t="s">
        <v>220</v>
      </c>
    </row>
    <row r="180" spans="1:6" x14ac:dyDescent="0.3">
      <c r="A180" s="13" t="s">
        <v>140</v>
      </c>
      <c r="B180" s="13" t="s">
        <v>295</v>
      </c>
      <c r="C180" s="13" t="s">
        <v>289</v>
      </c>
      <c r="D180" s="13" t="s">
        <v>75</v>
      </c>
      <c r="E180" s="14">
        <v>108</v>
      </c>
      <c r="F180" s="13" t="s">
        <v>212</v>
      </c>
    </row>
    <row r="181" spans="1:6" x14ac:dyDescent="0.3">
      <c r="A181" s="13" t="s">
        <v>140</v>
      </c>
      <c r="B181" s="13" t="s">
        <v>296</v>
      </c>
      <c r="C181" s="13" t="s">
        <v>289</v>
      </c>
      <c r="D181" s="13" t="s">
        <v>75</v>
      </c>
      <c r="E181" s="14">
        <v>108</v>
      </c>
      <c r="F181" s="13" t="s">
        <v>205</v>
      </c>
    </row>
    <row r="182" spans="1:6" x14ac:dyDescent="0.3">
      <c r="A182" s="13" t="s">
        <v>140</v>
      </c>
      <c r="B182" s="13" t="s">
        <v>297</v>
      </c>
      <c r="C182" s="13" t="s">
        <v>289</v>
      </c>
      <c r="D182" s="13" t="s">
        <v>75</v>
      </c>
      <c r="E182" s="14">
        <v>108</v>
      </c>
      <c r="F182" s="13" t="s">
        <v>298</v>
      </c>
    </row>
    <row r="183" spans="1:6" x14ac:dyDescent="0.3">
      <c r="A183" s="13" t="s">
        <v>140</v>
      </c>
      <c r="B183" s="13" t="s">
        <v>299</v>
      </c>
      <c r="C183" s="13" t="s">
        <v>289</v>
      </c>
      <c r="D183" s="13" t="s">
        <v>75</v>
      </c>
      <c r="E183" s="14">
        <v>108</v>
      </c>
      <c r="F183" s="13" t="s">
        <v>205</v>
      </c>
    </row>
    <row r="184" spans="1:6" x14ac:dyDescent="0.3">
      <c r="A184" s="13" t="s">
        <v>140</v>
      </c>
      <c r="B184" s="13" t="s">
        <v>300</v>
      </c>
      <c r="C184" s="13" t="s">
        <v>289</v>
      </c>
      <c r="D184" s="13" t="s">
        <v>75</v>
      </c>
      <c r="E184" s="14">
        <v>108</v>
      </c>
      <c r="F184" s="13" t="s">
        <v>205</v>
      </c>
    </row>
    <row r="185" spans="1:6" x14ac:dyDescent="0.3">
      <c r="A185" s="13" t="s">
        <v>140</v>
      </c>
      <c r="B185" s="13" t="s">
        <v>301</v>
      </c>
      <c r="C185" s="13" t="s">
        <v>289</v>
      </c>
      <c r="D185" s="13" t="s">
        <v>75</v>
      </c>
      <c r="E185" s="14">
        <v>108</v>
      </c>
      <c r="F185" s="13" t="s">
        <v>205</v>
      </c>
    </row>
    <row r="186" spans="1:6" x14ac:dyDescent="0.3">
      <c r="A186" s="13" t="s">
        <v>140</v>
      </c>
      <c r="B186" s="13" t="s">
        <v>302</v>
      </c>
      <c r="C186" s="13" t="s">
        <v>289</v>
      </c>
      <c r="D186" s="13" t="s">
        <v>75</v>
      </c>
      <c r="E186" s="14">
        <v>108</v>
      </c>
      <c r="F186" s="13" t="s">
        <v>303</v>
      </c>
    </row>
    <row r="187" spans="1:6" x14ac:dyDescent="0.3">
      <c r="A187" s="13" t="s">
        <v>140</v>
      </c>
      <c r="B187" s="13" t="s">
        <v>304</v>
      </c>
      <c r="C187" s="13" t="s">
        <v>289</v>
      </c>
      <c r="D187" s="13" t="s">
        <v>75</v>
      </c>
      <c r="E187" s="14">
        <v>108</v>
      </c>
      <c r="F187" s="13" t="s">
        <v>205</v>
      </c>
    </row>
    <row r="188" spans="1:6" x14ac:dyDescent="0.3">
      <c r="A188" s="13" t="s">
        <v>140</v>
      </c>
      <c r="B188" s="13" t="s">
        <v>305</v>
      </c>
      <c r="C188" s="13" t="s">
        <v>289</v>
      </c>
      <c r="D188" s="13" t="s">
        <v>75</v>
      </c>
      <c r="E188" s="14">
        <v>108</v>
      </c>
      <c r="F188" s="13" t="s">
        <v>216</v>
      </c>
    </row>
    <row r="189" spans="1:6" x14ac:dyDescent="0.3">
      <c r="A189" s="13" t="s">
        <v>140</v>
      </c>
      <c r="B189" s="13" t="s">
        <v>306</v>
      </c>
      <c r="C189" s="13" t="s">
        <v>289</v>
      </c>
      <c r="D189" s="13" t="s">
        <v>75</v>
      </c>
      <c r="E189" s="14">
        <v>108</v>
      </c>
      <c r="F189" s="13" t="s">
        <v>216</v>
      </c>
    </row>
    <row r="190" spans="1:6" x14ac:dyDescent="0.3">
      <c r="A190" s="13" t="s">
        <v>140</v>
      </c>
      <c r="B190" s="13" t="s">
        <v>307</v>
      </c>
      <c r="C190" s="13" t="s">
        <v>289</v>
      </c>
      <c r="D190" s="13" t="s">
        <v>75</v>
      </c>
      <c r="E190" s="14">
        <v>108</v>
      </c>
      <c r="F190" s="13" t="s">
        <v>216</v>
      </c>
    </row>
    <row r="191" spans="1:6" x14ac:dyDescent="0.3">
      <c r="A191" s="13" t="s">
        <v>140</v>
      </c>
      <c r="B191" s="13" t="s">
        <v>308</v>
      </c>
      <c r="C191" s="13" t="s">
        <v>289</v>
      </c>
      <c r="D191" s="13" t="s">
        <v>75</v>
      </c>
      <c r="E191" s="14">
        <v>108</v>
      </c>
      <c r="F191" s="13" t="s">
        <v>309</v>
      </c>
    </row>
    <row r="192" spans="1:6" x14ac:dyDescent="0.3">
      <c r="A192" s="13" t="s">
        <v>53</v>
      </c>
      <c r="B192" s="13" t="s">
        <v>310</v>
      </c>
      <c r="C192" s="13" t="s">
        <v>32</v>
      </c>
      <c r="D192" s="13" t="s">
        <v>47</v>
      </c>
      <c r="E192" s="14">
        <v>28</v>
      </c>
      <c r="F192" s="13" t="s">
        <v>311</v>
      </c>
    </row>
    <row r="193" spans="1:6" x14ac:dyDescent="0.3">
      <c r="A193" s="13" t="s">
        <v>53</v>
      </c>
      <c r="B193" s="13" t="s">
        <v>312</v>
      </c>
      <c r="C193" s="13" t="s">
        <v>32</v>
      </c>
      <c r="D193" s="13" t="s">
        <v>47</v>
      </c>
      <c r="E193" s="14">
        <v>28</v>
      </c>
      <c r="F193" s="13" t="s">
        <v>311</v>
      </c>
    </row>
    <row r="194" spans="1:6" x14ac:dyDescent="0.3">
      <c r="A194" s="13" t="s">
        <v>53</v>
      </c>
      <c r="B194" s="13" t="s">
        <v>313</v>
      </c>
      <c r="C194" s="13" t="s">
        <v>32</v>
      </c>
      <c r="D194" s="13" t="s">
        <v>47</v>
      </c>
      <c r="E194" s="14">
        <v>28</v>
      </c>
      <c r="F194" s="13" t="s">
        <v>311</v>
      </c>
    </row>
    <row r="195" spans="1:6" x14ac:dyDescent="0.3">
      <c r="A195" s="13" t="s">
        <v>53</v>
      </c>
      <c r="B195" s="13" t="s">
        <v>314</v>
      </c>
      <c r="C195" s="13" t="s">
        <v>32</v>
      </c>
      <c r="D195" s="13" t="s">
        <v>47</v>
      </c>
      <c r="E195" s="14">
        <v>28</v>
      </c>
      <c r="F195" s="13" t="s">
        <v>311</v>
      </c>
    </row>
    <row r="196" spans="1:6" x14ac:dyDescent="0.3">
      <c r="A196" s="13" t="s">
        <v>53</v>
      </c>
      <c r="B196" s="13" t="s">
        <v>315</v>
      </c>
      <c r="C196" s="13" t="s">
        <v>32</v>
      </c>
      <c r="D196" s="13" t="s">
        <v>47</v>
      </c>
      <c r="E196" s="14">
        <v>28</v>
      </c>
      <c r="F196" s="13" t="s">
        <v>311</v>
      </c>
    </row>
    <row r="197" spans="1:6" x14ac:dyDescent="0.3">
      <c r="A197" s="13" t="s">
        <v>53</v>
      </c>
      <c r="B197" s="13" t="s">
        <v>316</v>
      </c>
      <c r="C197" s="13" t="s">
        <v>32</v>
      </c>
      <c r="D197" s="13" t="s">
        <v>47</v>
      </c>
      <c r="E197" s="14">
        <v>28</v>
      </c>
      <c r="F197" s="13" t="s">
        <v>311</v>
      </c>
    </row>
    <row r="198" spans="1:6" x14ac:dyDescent="0.3">
      <c r="A198" s="13" t="s">
        <v>53</v>
      </c>
      <c r="B198" s="13" t="s">
        <v>317</v>
      </c>
      <c r="C198" s="13" t="s">
        <v>32</v>
      </c>
      <c r="D198" s="13" t="s">
        <v>47</v>
      </c>
      <c r="E198" s="14">
        <v>28</v>
      </c>
      <c r="F198" s="13" t="s">
        <v>311</v>
      </c>
    </row>
    <row r="199" spans="1:6" x14ac:dyDescent="0.3">
      <c r="A199" s="13" t="s">
        <v>53</v>
      </c>
      <c r="B199" s="13" t="s">
        <v>318</v>
      </c>
      <c r="C199" s="13" t="s">
        <v>32</v>
      </c>
      <c r="D199" s="13" t="s">
        <v>47</v>
      </c>
      <c r="E199" s="14">
        <v>28</v>
      </c>
      <c r="F199" s="13" t="s">
        <v>311</v>
      </c>
    </row>
    <row r="200" spans="1:6" x14ac:dyDescent="0.3">
      <c r="A200" s="13" t="s">
        <v>53</v>
      </c>
      <c r="B200" s="13" t="s">
        <v>319</v>
      </c>
      <c r="C200" s="13" t="s">
        <v>32</v>
      </c>
      <c r="D200" s="13" t="s">
        <v>47</v>
      </c>
      <c r="E200" s="14">
        <v>28</v>
      </c>
      <c r="F200" s="13" t="s">
        <v>311</v>
      </c>
    </row>
    <row r="201" spans="1:6" x14ac:dyDescent="0.3">
      <c r="A201" s="13" t="s">
        <v>53</v>
      </c>
      <c r="B201" s="13" t="s">
        <v>320</v>
      </c>
      <c r="C201" s="13" t="s">
        <v>32</v>
      </c>
      <c r="D201" s="13" t="s">
        <v>47</v>
      </c>
      <c r="E201" s="14">
        <v>28</v>
      </c>
      <c r="F201" s="13" t="s">
        <v>311</v>
      </c>
    </row>
    <row r="202" spans="1:6" x14ac:dyDescent="0.3">
      <c r="A202" s="13" t="s">
        <v>53</v>
      </c>
      <c r="B202" s="13" t="s">
        <v>321</v>
      </c>
      <c r="C202" s="13" t="s">
        <v>32</v>
      </c>
      <c r="D202" s="13" t="s">
        <v>47</v>
      </c>
      <c r="E202" s="14">
        <v>28</v>
      </c>
      <c r="F202" s="13" t="s">
        <v>311</v>
      </c>
    </row>
    <row r="203" spans="1:6" x14ac:dyDescent="0.3">
      <c r="A203" s="13" t="s">
        <v>53</v>
      </c>
      <c r="B203" s="13" t="s">
        <v>322</v>
      </c>
      <c r="C203" s="13" t="s">
        <v>32</v>
      </c>
      <c r="D203" s="13" t="s">
        <v>47</v>
      </c>
      <c r="E203" s="14">
        <v>28</v>
      </c>
      <c r="F203" s="13" t="s">
        <v>311</v>
      </c>
    </row>
    <row r="204" spans="1:6" x14ac:dyDescent="0.3">
      <c r="A204" s="13" t="s">
        <v>53</v>
      </c>
      <c r="B204" s="13" t="s">
        <v>323</v>
      </c>
      <c r="C204" s="13" t="s">
        <v>32</v>
      </c>
      <c r="D204" s="13" t="s">
        <v>47</v>
      </c>
      <c r="E204" s="14">
        <v>28</v>
      </c>
      <c r="F204" s="13" t="s">
        <v>311</v>
      </c>
    </row>
    <row r="205" spans="1:6" x14ac:dyDescent="0.3">
      <c r="A205" s="13" t="s">
        <v>53</v>
      </c>
      <c r="B205" s="13" t="s">
        <v>324</v>
      </c>
      <c r="C205" s="13" t="s">
        <v>32</v>
      </c>
      <c r="D205" s="13" t="s">
        <v>47</v>
      </c>
      <c r="E205" s="14">
        <v>28</v>
      </c>
      <c r="F205" s="13" t="s">
        <v>311</v>
      </c>
    </row>
    <row r="206" spans="1:6" x14ac:dyDescent="0.3">
      <c r="A206" s="13" t="s">
        <v>53</v>
      </c>
      <c r="B206" s="13" t="s">
        <v>325</v>
      </c>
      <c r="C206" s="13" t="s">
        <v>32</v>
      </c>
      <c r="D206" s="13" t="s">
        <v>47</v>
      </c>
      <c r="E206" s="14">
        <v>28</v>
      </c>
      <c r="F206" s="13" t="s">
        <v>311</v>
      </c>
    </row>
    <row r="207" spans="1:6" x14ac:dyDescent="0.3">
      <c r="A207" s="13" t="s">
        <v>56</v>
      </c>
      <c r="B207" s="13" t="s">
        <v>326</v>
      </c>
      <c r="C207" s="13" t="s">
        <v>32</v>
      </c>
      <c r="D207" s="13" t="s">
        <v>47</v>
      </c>
      <c r="E207" s="14">
        <v>28</v>
      </c>
      <c r="F207" s="13" t="s">
        <v>311</v>
      </c>
    </row>
    <row r="208" spans="1:6" x14ac:dyDescent="0.3">
      <c r="A208" s="13" t="s">
        <v>56</v>
      </c>
      <c r="B208" s="13" t="s">
        <v>327</v>
      </c>
      <c r="C208" s="13" t="s">
        <v>32</v>
      </c>
      <c r="D208" s="13" t="s">
        <v>47</v>
      </c>
      <c r="E208" s="14">
        <v>28</v>
      </c>
      <c r="F208" s="13" t="s">
        <v>311</v>
      </c>
    </row>
    <row r="209" spans="1:6" x14ac:dyDescent="0.3">
      <c r="A209" s="13" t="s">
        <v>59</v>
      </c>
      <c r="B209" s="13" t="s">
        <v>328</v>
      </c>
      <c r="C209" s="13" t="s">
        <v>32</v>
      </c>
      <c r="D209" s="13" t="s">
        <v>47</v>
      </c>
      <c r="E209" s="14">
        <v>28</v>
      </c>
      <c r="F209" s="13" t="s">
        <v>311</v>
      </c>
    </row>
    <row r="210" spans="1:6" x14ac:dyDescent="0.3">
      <c r="A210" s="13" t="s">
        <v>59</v>
      </c>
      <c r="B210" s="13" t="s">
        <v>329</v>
      </c>
      <c r="C210" s="13" t="s">
        <v>32</v>
      </c>
      <c r="D210" s="13" t="s">
        <v>47</v>
      </c>
      <c r="E210" s="14">
        <v>28</v>
      </c>
      <c r="F210" s="13" t="s">
        <v>311</v>
      </c>
    </row>
    <row r="211" spans="1:6" x14ac:dyDescent="0.3">
      <c r="A211" s="13" t="s">
        <v>59</v>
      </c>
      <c r="B211" s="13" t="s">
        <v>330</v>
      </c>
      <c r="C211" s="13" t="s">
        <v>32</v>
      </c>
      <c r="D211" s="13" t="s">
        <v>47</v>
      </c>
      <c r="E211" s="14">
        <v>28</v>
      </c>
      <c r="F211" s="13" t="s">
        <v>311</v>
      </c>
    </row>
    <row r="212" spans="1:6" x14ac:dyDescent="0.3">
      <c r="A212" s="13" t="s">
        <v>59</v>
      </c>
      <c r="B212" s="13" t="s">
        <v>331</v>
      </c>
      <c r="C212" s="13" t="s">
        <v>32</v>
      </c>
      <c r="D212" s="13" t="s">
        <v>47</v>
      </c>
      <c r="E212" s="14">
        <v>28</v>
      </c>
      <c r="F212" s="13" t="s">
        <v>311</v>
      </c>
    </row>
    <row r="213" spans="1:6" x14ac:dyDescent="0.3">
      <c r="A213" s="13" t="s">
        <v>59</v>
      </c>
      <c r="B213" s="13" t="s">
        <v>332</v>
      </c>
      <c r="C213" s="13" t="s">
        <v>32</v>
      </c>
      <c r="D213" s="13" t="s">
        <v>47</v>
      </c>
      <c r="E213" s="14">
        <v>28</v>
      </c>
      <c r="F213" s="13" t="s">
        <v>311</v>
      </c>
    </row>
    <row r="214" spans="1:6" x14ac:dyDescent="0.3">
      <c r="A214" s="13" t="s">
        <v>59</v>
      </c>
      <c r="B214" s="13" t="s">
        <v>333</v>
      </c>
      <c r="C214" s="13" t="s">
        <v>32</v>
      </c>
      <c r="D214" s="13" t="s">
        <v>47</v>
      </c>
      <c r="E214" s="14">
        <v>28</v>
      </c>
      <c r="F214" s="13" t="s">
        <v>311</v>
      </c>
    </row>
    <row r="215" spans="1:6" x14ac:dyDescent="0.3">
      <c r="A215" s="13" t="s">
        <v>59</v>
      </c>
      <c r="B215" s="13" t="s">
        <v>334</v>
      </c>
      <c r="C215" s="13" t="s">
        <v>32</v>
      </c>
      <c r="D215" s="13" t="s">
        <v>47</v>
      </c>
      <c r="E215" s="14">
        <v>28</v>
      </c>
      <c r="F215" s="13" t="s">
        <v>311</v>
      </c>
    </row>
    <row r="216" spans="1:6" x14ac:dyDescent="0.3">
      <c r="A216" s="13" t="s">
        <v>59</v>
      </c>
      <c r="B216" s="13" t="s">
        <v>335</v>
      </c>
      <c r="C216" s="13" t="s">
        <v>32</v>
      </c>
      <c r="D216" s="13" t="s">
        <v>47</v>
      </c>
      <c r="E216" s="14">
        <v>28</v>
      </c>
      <c r="F216" s="13" t="s">
        <v>311</v>
      </c>
    </row>
    <row r="217" spans="1:6" x14ac:dyDescent="0.3">
      <c r="A217" s="13" t="s">
        <v>59</v>
      </c>
      <c r="B217" s="13" t="s">
        <v>336</v>
      </c>
      <c r="C217" s="13" t="s">
        <v>32</v>
      </c>
      <c r="D217" s="13" t="s">
        <v>47</v>
      </c>
      <c r="E217" s="14">
        <v>28</v>
      </c>
      <c r="F217" s="13" t="s">
        <v>311</v>
      </c>
    </row>
    <row r="218" spans="1:6" x14ac:dyDescent="0.3">
      <c r="A218" s="13" t="s">
        <v>59</v>
      </c>
      <c r="B218" s="13" t="s">
        <v>337</v>
      </c>
      <c r="C218" s="13" t="s">
        <v>32</v>
      </c>
      <c r="D218" s="13" t="s">
        <v>47</v>
      </c>
      <c r="E218" s="14">
        <v>28</v>
      </c>
      <c r="F218" s="13" t="s">
        <v>311</v>
      </c>
    </row>
    <row r="219" spans="1:6" x14ac:dyDescent="0.3">
      <c r="A219" s="13" t="s">
        <v>59</v>
      </c>
      <c r="B219" s="13" t="s">
        <v>338</v>
      </c>
      <c r="C219" s="13" t="s">
        <v>32</v>
      </c>
      <c r="D219" s="13" t="s">
        <v>47</v>
      </c>
      <c r="E219" s="14">
        <v>28</v>
      </c>
      <c r="F219" s="13" t="s">
        <v>311</v>
      </c>
    </row>
    <row r="220" spans="1:6" x14ac:dyDescent="0.3">
      <c r="A220" s="13" t="s">
        <v>339</v>
      </c>
      <c r="B220" s="13" t="s">
        <v>340</v>
      </c>
      <c r="C220" s="13" t="s">
        <v>32</v>
      </c>
      <c r="D220" s="13" t="s">
        <v>47</v>
      </c>
      <c r="E220" s="14">
        <v>28</v>
      </c>
      <c r="F220" s="13" t="s">
        <v>311</v>
      </c>
    </row>
    <row r="221" spans="1:6" x14ac:dyDescent="0.3">
      <c r="A221" s="13" t="s">
        <v>78</v>
      </c>
      <c r="B221" s="13" t="s">
        <v>341</v>
      </c>
      <c r="C221" s="13" t="s">
        <v>32</v>
      </c>
      <c r="D221" s="13" t="s">
        <v>75</v>
      </c>
      <c r="E221" s="14">
        <v>28</v>
      </c>
      <c r="F221" s="13" t="s">
        <v>311</v>
      </c>
    </row>
    <row r="222" spans="1:6" x14ac:dyDescent="0.3">
      <c r="A222" s="13" t="s">
        <v>83</v>
      </c>
      <c r="B222" s="13" t="s">
        <v>342</v>
      </c>
      <c r="C222" s="13" t="s">
        <v>32</v>
      </c>
      <c r="D222" s="13" t="s">
        <v>75</v>
      </c>
      <c r="E222" s="14">
        <v>28</v>
      </c>
      <c r="F222" s="13" t="s">
        <v>311</v>
      </c>
    </row>
    <row r="223" spans="1:6" x14ac:dyDescent="0.3">
      <c r="A223" s="13" t="s">
        <v>83</v>
      </c>
      <c r="B223" s="13" t="s">
        <v>343</v>
      </c>
      <c r="C223" s="13" t="s">
        <v>32</v>
      </c>
      <c r="D223" s="13" t="s">
        <v>75</v>
      </c>
      <c r="E223" s="14">
        <v>28</v>
      </c>
      <c r="F223" s="13" t="s">
        <v>311</v>
      </c>
    </row>
    <row r="224" spans="1:6" x14ac:dyDescent="0.3">
      <c r="A224" s="13" t="s">
        <v>83</v>
      </c>
      <c r="B224" s="13" t="s">
        <v>344</v>
      </c>
      <c r="C224" s="13" t="s">
        <v>32</v>
      </c>
      <c r="D224" s="13" t="s">
        <v>75</v>
      </c>
      <c r="E224" s="14">
        <v>28</v>
      </c>
      <c r="F224" s="13" t="s">
        <v>311</v>
      </c>
    </row>
    <row r="225" spans="1:6" x14ac:dyDescent="0.3">
      <c r="A225" s="13" t="s">
        <v>83</v>
      </c>
      <c r="B225" s="13" t="s">
        <v>345</v>
      </c>
      <c r="C225" s="13" t="s">
        <v>32</v>
      </c>
      <c r="D225" s="13" t="s">
        <v>75</v>
      </c>
      <c r="E225" s="14">
        <v>28</v>
      </c>
      <c r="F225" s="13" t="s">
        <v>311</v>
      </c>
    </row>
    <row r="226" spans="1:6" x14ac:dyDescent="0.3">
      <c r="A226" s="13" t="s">
        <v>83</v>
      </c>
      <c r="B226" s="13" t="s">
        <v>346</v>
      </c>
      <c r="C226" s="13" t="s">
        <v>32</v>
      </c>
      <c r="D226" s="13" t="s">
        <v>75</v>
      </c>
      <c r="E226" s="14">
        <v>28</v>
      </c>
      <c r="F226" s="13" t="s">
        <v>311</v>
      </c>
    </row>
    <row r="227" spans="1:6" x14ac:dyDescent="0.3">
      <c r="A227" s="13" t="s">
        <v>83</v>
      </c>
      <c r="B227" s="13" t="s">
        <v>347</v>
      </c>
      <c r="C227" s="13" t="s">
        <v>32</v>
      </c>
      <c r="D227" s="13" t="s">
        <v>75</v>
      </c>
      <c r="E227" s="14">
        <v>28</v>
      </c>
      <c r="F227" s="13" t="s">
        <v>311</v>
      </c>
    </row>
    <row r="228" spans="1:6" x14ac:dyDescent="0.3">
      <c r="A228" s="13" t="s">
        <v>348</v>
      </c>
      <c r="B228" s="13" t="s">
        <v>349</v>
      </c>
      <c r="C228" s="13" t="s">
        <v>32</v>
      </c>
      <c r="D228" s="13" t="s">
        <v>75</v>
      </c>
      <c r="E228" s="14">
        <v>28</v>
      </c>
      <c r="F228" s="13" t="s">
        <v>311</v>
      </c>
    </row>
    <row r="229" spans="1:6" x14ac:dyDescent="0.3">
      <c r="A229" s="13" t="s">
        <v>348</v>
      </c>
      <c r="B229" s="13" t="s">
        <v>350</v>
      </c>
      <c r="C229" s="13" t="s">
        <v>32</v>
      </c>
      <c r="D229" s="13" t="s">
        <v>75</v>
      </c>
      <c r="E229" s="14">
        <v>28</v>
      </c>
      <c r="F229" s="13" t="s">
        <v>311</v>
      </c>
    </row>
    <row r="230" spans="1:6" x14ac:dyDescent="0.3">
      <c r="A230" s="13" t="s">
        <v>90</v>
      </c>
      <c r="B230" s="13" t="s">
        <v>351</v>
      </c>
      <c r="C230" s="13" t="s">
        <v>32</v>
      </c>
      <c r="D230" s="13" t="s">
        <v>75</v>
      </c>
      <c r="E230" s="14">
        <v>28</v>
      </c>
      <c r="F230" s="13" t="s">
        <v>311</v>
      </c>
    </row>
    <row r="231" spans="1:6" x14ac:dyDescent="0.3">
      <c r="A231" s="13" t="s">
        <v>90</v>
      </c>
      <c r="B231" s="13" t="s">
        <v>352</v>
      </c>
      <c r="C231" s="13" t="s">
        <v>32</v>
      </c>
      <c r="D231" s="13" t="s">
        <v>75</v>
      </c>
      <c r="E231" s="14">
        <v>28</v>
      </c>
      <c r="F231" s="13" t="s">
        <v>311</v>
      </c>
    </row>
    <row r="232" spans="1:6" x14ac:dyDescent="0.3">
      <c r="A232" s="13" t="s">
        <v>90</v>
      </c>
      <c r="B232" s="13" t="s">
        <v>353</v>
      </c>
      <c r="C232" s="13" t="s">
        <v>32</v>
      </c>
      <c r="D232" s="13" t="s">
        <v>75</v>
      </c>
      <c r="E232" s="14">
        <v>28</v>
      </c>
      <c r="F232" s="13" t="s">
        <v>311</v>
      </c>
    </row>
    <row r="233" spans="1:6" x14ac:dyDescent="0.3">
      <c r="A233" s="13" t="s">
        <v>90</v>
      </c>
      <c r="B233" s="13" t="s">
        <v>354</v>
      </c>
      <c r="C233" s="13" t="s">
        <v>32</v>
      </c>
      <c r="D233" s="13" t="s">
        <v>75</v>
      </c>
      <c r="E233" s="14">
        <v>28</v>
      </c>
      <c r="F233" s="13" t="s">
        <v>311</v>
      </c>
    </row>
    <row r="234" spans="1:6" x14ac:dyDescent="0.3">
      <c r="A234" s="13" t="s">
        <v>90</v>
      </c>
      <c r="B234" s="13" t="s">
        <v>355</v>
      </c>
      <c r="C234" s="13" t="s">
        <v>32</v>
      </c>
      <c r="D234" s="13" t="s">
        <v>75</v>
      </c>
      <c r="E234" s="14">
        <v>28</v>
      </c>
      <c r="F234" s="13" t="s">
        <v>311</v>
      </c>
    </row>
    <row r="235" spans="1:6" x14ac:dyDescent="0.3">
      <c r="A235" s="13" t="s">
        <v>90</v>
      </c>
      <c r="B235" s="13" t="s">
        <v>356</v>
      </c>
      <c r="C235" s="13" t="s">
        <v>32</v>
      </c>
      <c r="D235" s="13" t="s">
        <v>75</v>
      </c>
      <c r="E235" s="14">
        <v>28</v>
      </c>
      <c r="F235" s="13" t="s">
        <v>311</v>
      </c>
    </row>
    <row r="236" spans="1:6" x14ac:dyDescent="0.3">
      <c r="A236" s="13" t="s">
        <v>90</v>
      </c>
      <c r="B236" s="13" t="s">
        <v>357</v>
      </c>
      <c r="C236" s="13" t="s">
        <v>32</v>
      </c>
      <c r="D236" s="13" t="s">
        <v>75</v>
      </c>
      <c r="E236" s="14">
        <v>28</v>
      </c>
      <c r="F236" s="13" t="s">
        <v>311</v>
      </c>
    </row>
    <row r="237" spans="1:6" x14ac:dyDescent="0.3">
      <c r="A237" s="13" t="s">
        <v>90</v>
      </c>
      <c r="B237" s="13" t="s">
        <v>358</v>
      </c>
      <c r="C237" s="13" t="s">
        <v>32</v>
      </c>
      <c r="D237" s="13" t="s">
        <v>75</v>
      </c>
      <c r="E237" s="14">
        <v>28</v>
      </c>
      <c r="F237" s="13" t="s">
        <v>311</v>
      </c>
    </row>
    <row r="238" spans="1:6" x14ac:dyDescent="0.3">
      <c r="A238" s="13" t="s">
        <v>90</v>
      </c>
      <c r="B238" s="13" t="s">
        <v>359</v>
      </c>
      <c r="C238" s="13" t="s">
        <v>32</v>
      </c>
      <c r="D238" s="13" t="s">
        <v>75</v>
      </c>
      <c r="E238" s="14">
        <v>28</v>
      </c>
      <c r="F238" s="13" t="s">
        <v>311</v>
      </c>
    </row>
    <row r="239" spans="1:6" x14ac:dyDescent="0.3">
      <c r="A239" s="13" t="s">
        <v>90</v>
      </c>
      <c r="B239" s="13" t="s">
        <v>360</v>
      </c>
      <c r="C239" s="13" t="s">
        <v>32</v>
      </c>
      <c r="D239" s="13" t="s">
        <v>75</v>
      </c>
      <c r="E239" s="14">
        <v>28</v>
      </c>
      <c r="F239" s="13" t="s">
        <v>311</v>
      </c>
    </row>
    <row r="240" spans="1:6" x14ac:dyDescent="0.3">
      <c r="A240" s="13" t="s">
        <v>127</v>
      </c>
      <c r="B240" s="13" t="s">
        <v>361</v>
      </c>
      <c r="C240" s="13" t="s">
        <v>32</v>
      </c>
      <c r="D240" s="13" t="s">
        <v>75</v>
      </c>
      <c r="E240" s="14">
        <v>28</v>
      </c>
      <c r="F240" s="13" t="s">
        <v>311</v>
      </c>
    </row>
    <row r="241" spans="1:6" x14ac:dyDescent="0.3">
      <c r="A241" s="13" t="s">
        <v>127</v>
      </c>
      <c r="B241" s="13" t="s">
        <v>362</v>
      </c>
      <c r="C241" s="13" t="s">
        <v>32</v>
      </c>
      <c r="D241" s="13" t="s">
        <v>75</v>
      </c>
      <c r="E241" s="14">
        <v>28</v>
      </c>
      <c r="F241" s="13" t="s">
        <v>311</v>
      </c>
    </row>
    <row r="242" spans="1:6" x14ac:dyDescent="0.3">
      <c r="A242" s="13" t="s">
        <v>127</v>
      </c>
      <c r="B242" s="13" t="s">
        <v>363</v>
      </c>
      <c r="C242" s="13" t="s">
        <v>32</v>
      </c>
      <c r="D242" s="13" t="s">
        <v>75</v>
      </c>
      <c r="E242" s="14">
        <v>28</v>
      </c>
      <c r="F242" s="13" t="s">
        <v>311</v>
      </c>
    </row>
    <row r="243" spans="1:6" x14ac:dyDescent="0.3">
      <c r="A243" s="13" t="s">
        <v>127</v>
      </c>
      <c r="B243" s="13" t="s">
        <v>364</v>
      </c>
      <c r="C243" s="13" t="s">
        <v>32</v>
      </c>
      <c r="D243" s="13" t="s">
        <v>75</v>
      </c>
      <c r="E243" s="14">
        <v>28</v>
      </c>
      <c r="F243" s="13" t="s">
        <v>311</v>
      </c>
    </row>
    <row r="244" spans="1:6" x14ac:dyDescent="0.3">
      <c r="A244" s="13" t="s">
        <v>127</v>
      </c>
      <c r="B244" s="13" t="s">
        <v>365</v>
      </c>
      <c r="C244" s="13" t="s">
        <v>32</v>
      </c>
      <c r="D244" s="13" t="s">
        <v>75</v>
      </c>
      <c r="E244" s="14">
        <v>28</v>
      </c>
      <c r="F244" s="13" t="s">
        <v>311</v>
      </c>
    </row>
    <row r="245" spans="1:6" x14ac:dyDescent="0.3">
      <c r="A245" s="13" t="s">
        <v>127</v>
      </c>
      <c r="B245" s="13" t="s">
        <v>366</v>
      </c>
      <c r="C245" s="13" t="s">
        <v>32</v>
      </c>
      <c r="D245" s="13" t="s">
        <v>75</v>
      </c>
      <c r="E245" s="14">
        <v>28</v>
      </c>
      <c r="F245" s="13" t="s">
        <v>311</v>
      </c>
    </row>
    <row r="246" spans="1:6" x14ac:dyDescent="0.3">
      <c r="A246" s="13" t="s">
        <v>127</v>
      </c>
      <c r="B246" s="13" t="s">
        <v>367</v>
      </c>
      <c r="C246" s="13" t="s">
        <v>32</v>
      </c>
      <c r="D246" s="13" t="s">
        <v>75</v>
      </c>
      <c r="E246" s="14">
        <v>28</v>
      </c>
      <c r="F246" s="13" t="s">
        <v>311</v>
      </c>
    </row>
    <row r="247" spans="1:6" x14ac:dyDescent="0.3">
      <c r="A247" s="13" t="s">
        <v>127</v>
      </c>
      <c r="B247" s="13" t="s">
        <v>368</v>
      </c>
      <c r="C247" s="13" t="s">
        <v>32</v>
      </c>
      <c r="D247" s="13" t="s">
        <v>75</v>
      </c>
      <c r="E247" s="14">
        <v>28</v>
      </c>
      <c r="F247" s="13" t="s">
        <v>311</v>
      </c>
    </row>
    <row r="248" spans="1:6" x14ac:dyDescent="0.3">
      <c r="A248" s="13" t="s">
        <v>130</v>
      </c>
      <c r="B248" s="13" t="s">
        <v>369</v>
      </c>
      <c r="C248" s="13" t="s">
        <v>32</v>
      </c>
      <c r="D248" s="13" t="s">
        <v>75</v>
      </c>
      <c r="E248" s="14">
        <v>28</v>
      </c>
      <c r="F248" s="13" t="s">
        <v>311</v>
      </c>
    </row>
    <row r="249" spans="1:6" x14ac:dyDescent="0.3">
      <c r="A249" s="13" t="s">
        <v>130</v>
      </c>
      <c r="B249" s="13" t="s">
        <v>370</v>
      </c>
      <c r="C249" s="13" t="s">
        <v>32</v>
      </c>
      <c r="D249" s="13" t="s">
        <v>75</v>
      </c>
      <c r="E249" s="14">
        <v>28</v>
      </c>
      <c r="F249" s="13" t="s">
        <v>311</v>
      </c>
    </row>
    <row r="250" spans="1:6" x14ac:dyDescent="0.3">
      <c r="A250" s="13" t="s">
        <v>130</v>
      </c>
      <c r="B250" s="13" t="s">
        <v>371</v>
      </c>
      <c r="C250" s="13" t="s">
        <v>32</v>
      </c>
      <c r="D250" s="13" t="s">
        <v>75</v>
      </c>
      <c r="E250" s="14">
        <v>28</v>
      </c>
      <c r="F250" s="13" t="s">
        <v>311</v>
      </c>
    </row>
    <row r="251" spans="1:6" x14ac:dyDescent="0.3">
      <c r="A251" s="13" t="s">
        <v>130</v>
      </c>
      <c r="B251" s="13" t="s">
        <v>372</v>
      </c>
      <c r="C251" s="13" t="s">
        <v>32</v>
      </c>
      <c r="D251" s="13" t="s">
        <v>75</v>
      </c>
      <c r="E251" s="14">
        <v>28</v>
      </c>
      <c r="F251" s="13" t="s">
        <v>311</v>
      </c>
    </row>
    <row r="252" spans="1:6" x14ac:dyDescent="0.3">
      <c r="A252" s="13" t="s">
        <v>130</v>
      </c>
      <c r="B252" s="13" t="s">
        <v>373</v>
      </c>
      <c r="C252" s="13" t="s">
        <v>32</v>
      </c>
      <c r="D252" s="13" t="s">
        <v>75</v>
      </c>
      <c r="E252" s="14">
        <v>28</v>
      </c>
      <c r="F252" s="13" t="s">
        <v>311</v>
      </c>
    </row>
    <row r="253" spans="1:6" x14ac:dyDescent="0.3">
      <c r="A253" s="13" t="s">
        <v>374</v>
      </c>
      <c r="B253" s="13" t="s">
        <v>375</v>
      </c>
      <c r="C253" s="13" t="s">
        <v>32</v>
      </c>
      <c r="D253" s="13" t="s">
        <v>75</v>
      </c>
      <c r="E253" s="14">
        <v>28</v>
      </c>
      <c r="F253" s="13" t="s">
        <v>311</v>
      </c>
    </row>
    <row r="254" spans="1:6" x14ac:dyDescent="0.3">
      <c r="A254" s="13" t="s">
        <v>136</v>
      </c>
      <c r="B254" s="13" t="s">
        <v>376</v>
      </c>
      <c r="C254" s="13" t="s">
        <v>32</v>
      </c>
      <c r="D254" s="13" t="s">
        <v>75</v>
      </c>
      <c r="E254" s="14">
        <v>28</v>
      </c>
      <c r="F254" s="13" t="s">
        <v>311</v>
      </c>
    </row>
    <row r="255" spans="1:6" x14ac:dyDescent="0.3">
      <c r="A255" s="13" t="s">
        <v>140</v>
      </c>
      <c r="B255" s="13" t="s">
        <v>377</v>
      </c>
      <c r="C255" s="13" t="s">
        <v>32</v>
      </c>
      <c r="D255" s="13" t="s">
        <v>75</v>
      </c>
      <c r="E255" s="14">
        <v>28</v>
      </c>
      <c r="F255" s="13" t="s">
        <v>311</v>
      </c>
    </row>
  </sheetData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F131"/>
  <sheetViews>
    <sheetView topLeftCell="A91" workbookViewId="0">
      <selection activeCell="B134" sqref="B134"/>
    </sheetView>
  </sheetViews>
  <sheetFormatPr defaultRowHeight="14.4" x14ac:dyDescent="0.3"/>
  <cols>
    <col min="1" max="1" width="21.6640625" style="1" customWidth="1"/>
    <col min="2" max="2" width="25.88671875" style="1" customWidth="1"/>
    <col min="3" max="3" width="44.88671875" style="1" bestFit="1" customWidth="1"/>
    <col min="4" max="4" width="17.88671875" style="1" customWidth="1"/>
    <col min="5" max="5" width="15.109375" style="1" customWidth="1"/>
    <col min="6" max="6" width="13.5546875" style="1" customWidth="1"/>
    <col min="7" max="7" width="8.88671875" style="1" customWidth="1"/>
    <col min="8" max="16384" width="8.88671875" style="1"/>
  </cols>
  <sheetData>
    <row r="1" spans="1:6" x14ac:dyDescent="0.3">
      <c r="A1" s="12" t="s">
        <v>38</v>
      </c>
      <c r="B1" s="12" t="s">
        <v>39</v>
      </c>
      <c r="C1" s="12" t="s">
        <v>378</v>
      </c>
      <c r="D1" s="12" t="s">
        <v>379</v>
      </c>
      <c r="E1" s="12" t="s">
        <v>41</v>
      </c>
      <c r="F1" s="12" t="s">
        <v>380</v>
      </c>
    </row>
    <row r="2" spans="1:6" x14ac:dyDescent="0.3">
      <c r="A2" s="13" t="s">
        <v>62</v>
      </c>
      <c r="B2" s="13" t="s">
        <v>381</v>
      </c>
      <c r="C2" s="13" t="s">
        <v>382</v>
      </c>
      <c r="D2" s="13" t="s">
        <v>383</v>
      </c>
      <c r="E2" s="13" t="s">
        <v>47</v>
      </c>
      <c r="F2" s="14">
        <v>101</v>
      </c>
    </row>
    <row r="3" spans="1:6" x14ac:dyDescent="0.3">
      <c r="A3" s="13" t="s">
        <v>62</v>
      </c>
      <c r="B3" s="13" t="s">
        <v>384</v>
      </c>
      <c r="C3" s="13" t="s">
        <v>385</v>
      </c>
      <c r="D3" s="13" t="s">
        <v>383</v>
      </c>
      <c r="E3" s="13" t="s">
        <v>47</v>
      </c>
      <c r="F3" s="14">
        <v>101</v>
      </c>
    </row>
    <row r="4" spans="1:6" x14ac:dyDescent="0.3">
      <c r="A4" s="13" t="s">
        <v>76</v>
      </c>
      <c r="B4" s="13" t="s">
        <v>386</v>
      </c>
      <c r="C4" s="13" t="s">
        <v>387</v>
      </c>
      <c r="D4" s="13" t="s">
        <v>388</v>
      </c>
      <c r="E4" s="13" t="s">
        <v>75</v>
      </c>
      <c r="F4" s="14">
        <v>86</v>
      </c>
    </row>
    <row r="5" spans="1:6" x14ac:dyDescent="0.3">
      <c r="A5" s="13" t="s">
        <v>169</v>
      </c>
      <c r="B5" s="13" t="s">
        <v>389</v>
      </c>
      <c r="C5" s="13" t="s">
        <v>385</v>
      </c>
      <c r="D5" s="13" t="s">
        <v>388</v>
      </c>
      <c r="E5" s="13" t="s">
        <v>75</v>
      </c>
      <c r="F5" s="14">
        <v>86</v>
      </c>
    </row>
    <row r="6" spans="1:6" x14ac:dyDescent="0.3">
      <c r="A6" s="13" t="s">
        <v>44</v>
      </c>
      <c r="B6" s="13" t="s">
        <v>390</v>
      </c>
      <c r="C6" s="13" t="s">
        <v>391</v>
      </c>
      <c r="D6" s="13" t="s">
        <v>392</v>
      </c>
      <c r="E6" s="13" t="s">
        <v>47</v>
      </c>
      <c r="F6" s="14">
        <v>181</v>
      </c>
    </row>
    <row r="7" spans="1:6" x14ac:dyDescent="0.3">
      <c r="A7" s="13" t="s">
        <v>49</v>
      </c>
      <c r="B7" s="13" t="s">
        <v>393</v>
      </c>
      <c r="C7" s="13" t="s">
        <v>394</v>
      </c>
      <c r="D7" s="13" t="s">
        <v>392</v>
      </c>
      <c r="E7" s="13" t="s">
        <v>47</v>
      </c>
      <c r="F7" s="14">
        <v>181</v>
      </c>
    </row>
    <row r="8" spans="1:6" x14ac:dyDescent="0.3">
      <c r="A8" s="13" t="s">
        <v>49</v>
      </c>
      <c r="B8" s="13" t="s">
        <v>395</v>
      </c>
      <c r="C8" s="13" t="s">
        <v>394</v>
      </c>
      <c r="D8" s="13" t="s">
        <v>392</v>
      </c>
      <c r="E8" s="13" t="s">
        <v>47</v>
      </c>
      <c r="F8" s="14">
        <v>181</v>
      </c>
    </row>
    <row r="9" spans="1:6" x14ac:dyDescent="0.3">
      <c r="A9" s="13" t="s">
        <v>62</v>
      </c>
      <c r="B9" s="13" t="s">
        <v>396</v>
      </c>
      <c r="C9" s="13" t="s">
        <v>397</v>
      </c>
      <c r="D9" s="13" t="s">
        <v>392</v>
      </c>
      <c r="E9" s="13" t="s">
        <v>47</v>
      </c>
      <c r="F9" s="14">
        <v>181</v>
      </c>
    </row>
    <row r="10" spans="1:6" x14ac:dyDescent="0.3">
      <c r="A10" s="13" t="s">
        <v>62</v>
      </c>
      <c r="B10" s="13" t="s">
        <v>398</v>
      </c>
      <c r="C10" s="13" t="s">
        <v>391</v>
      </c>
      <c r="D10" s="13" t="s">
        <v>392</v>
      </c>
      <c r="E10" s="13" t="s">
        <v>47</v>
      </c>
      <c r="F10" s="14">
        <v>181</v>
      </c>
    </row>
    <row r="11" spans="1:6" x14ac:dyDescent="0.3">
      <c r="A11" s="13" t="s">
        <v>62</v>
      </c>
      <c r="B11" s="13" t="s">
        <v>399</v>
      </c>
      <c r="C11" s="13" t="s">
        <v>391</v>
      </c>
      <c r="D11" s="13" t="s">
        <v>392</v>
      </c>
      <c r="E11" s="13" t="s">
        <v>47</v>
      </c>
      <c r="F11" s="14">
        <v>181</v>
      </c>
    </row>
    <row r="12" spans="1:6" x14ac:dyDescent="0.3">
      <c r="A12" s="13" t="s">
        <v>62</v>
      </c>
      <c r="B12" s="13" t="s">
        <v>400</v>
      </c>
      <c r="C12" s="13" t="s">
        <v>391</v>
      </c>
      <c r="D12" s="13" t="s">
        <v>392</v>
      </c>
      <c r="E12" s="13" t="s">
        <v>47</v>
      </c>
      <c r="F12" s="14">
        <v>181</v>
      </c>
    </row>
    <row r="13" spans="1:6" x14ac:dyDescent="0.3">
      <c r="A13" s="13" t="s">
        <v>62</v>
      </c>
      <c r="B13" s="13" t="s">
        <v>401</v>
      </c>
      <c r="C13" s="13" t="s">
        <v>391</v>
      </c>
      <c r="D13" s="13" t="s">
        <v>392</v>
      </c>
      <c r="E13" s="13" t="s">
        <v>47</v>
      </c>
      <c r="F13" s="14">
        <v>181</v>
      </c>
    </row>
    <row r="14" spans="1:6" x14ac:dyDescent="0.3">
      <c r="A14" s="13" t="s">
        <v>62</v>
      </c>
      <c r="B14" s="13" t="s">
        <v>402</v>
      </c>
      <c r="C14" s="13" t="s">
        <v>391</v>
      </c>
      <c r="D14" s="13" t="s">
        <v>392</v>
      </c>
      <c r="E14" s="13" t="s">
        <v>47</v>
      </c>
      <c r="F14" s="14">
        <v>181</v>
      </c>
    </row>
    <row r="15" spans="1:6" x14ac:dyDescent="0.3">
      <c r="A15" s="13" t="s">
        <v>62</v>
      </c>
      <c r="B15" s="13" t="s">
        <v>403</v>
      </c>
      <c r="C15" s="13" t="s">
        <v>391</v>
      </c>
      <c r="D15" s="13" t="s">
        <v>392</v>
      </c>
      <c r="E15" s="13" t="s">
        <v>47</v>
      </c>
      <c r="F15" s="14">
        <v>181</v>
      </c>
    </row>
    <row r="16" spans="1:6" x14ac:dyDescent="0.3">
      <c r="A16" s="13" t="s">
        <v>62</v>
      </c>
      <c r="B16" s="13" t="s">
        <v>404</v>
      </c>
      <c r="C16" s="13" t="s">
        <v>391</v>
      </c>
      <c r="D16" s="13" t="s">
        <v>392</v>
      </c>
      <c r="E16" s="13" t="s">
        <v>47</v>
      </c>
      <c r="F16" s="14">
        <v>181</v>
      </c>
    </row>
    <row r="17" spans="1:6" x14ac:dyDescent="0.3">
      <c r="A17" s="13" t="s">
        <v>71</v>
      </c>
      <c r="B17" s="13" t="s">
        <v>405</v>
      </c>
      <c r="C17" s="13" t="s">
        <v>391</v>
      </c>
      <c r="D17" s="13" t="s">
        <v>392</v>
      </c>
      <c r="E17" s="13" t="s">
        <v>47</v>
      </c>
      <c r="F17" s="14">
        <v>181</v>
      </c>
    </row>
    <row r="18" spans="1:6" x14ac:dyDescent="0.3">
      <c r="A18" s="13" t="s">
        <v>76</v>
      </c>
      <c r="B18" s="13" t="s">
        <v>406</v>
      </c>
      <c r="C18" s="13" t="s">
        <v>391</v>
      </c>
      <c r="D18" s="13" t="s">
        <v>407</v>
      </c>
      <c r="E18" s="13" t="s">
        <v>75</v>
      </c>
      <c r="F18" s="14">
        <v>152</v>
      </c>
    </row>
    <row r="19" spans="1:6" x14ac:dyDescent="0.3">
      <c r="A19" s="13" t="s">
        <v>76</v>
      </c>
      <c r="B19" s="13" t="s">
        <v>408</v>
      </c>
      <c r="C19" s="13" t="s">
        <v>409</v>
      </c>
      <c r="D19" s="13" t="s">
        <v>407</v>
      </c>
      <c r="E19" s="13" t="s">
        <v>75</v>
      </c>
      <c r="F19" s="14">
        <v>152</v>
      </c>
    </row>
    <row r="20" spans="1:6" x14ac:dyDescent="0.3">
      <c r="A20" s="13" t="s">
        <v>80</v>
      </c>
      <c r="B20" s="13" t="s">
        <v>410</v>
      </c>
      <c r="C20" s="13" t="s">
        <v>394</v>
      </c>
      <c r="D20" s="13" t="s">
        <v>407</v>
      </c>
      <c r="E20" s="13" t="s">
        <v>75</v>
      </c>
      <c r="F20" s="14">
        <v>152</v>
      </c>
    </row>
    <row r="21" spans="1:6" x14ac:dyDescent="0.3">
      <c r="A21" s="13" t="s">
        <v>80</v>
      </c>
      <c r="B21" s="13" t="s">
        <v>411</v>
      </c>
      <c r="C21" s="13" t="s">
        <v>391</v>
      </c>
      <c r="D21" s="13" t="s">
        <v>407</v>
      </c>
      <c r="E21" s="13" t="s">
        <v>75</v>
      </c>
      <c r="F21" s="14">
        <v>152</v>
      </c>
    </row>
    <row r="22" spans="1:6" x14ac:dyDescent="0.3">
      <c r="A22" s="13" t="s">
        <v>90</v>
      </c>
      <c r="B22" s="13" t="s">
        <v>412</v>
      </c>
      <c r="C22" s="13" t="s">
        <v>391</v>
      </c>
      <c r="D22" s="13" t="s">
        <v>407</v>
      </c>
      <c r="E22" s="13" t="s">
        <v>75</v>
      </c>
      <c r="F22" s="14">
        <v>152</v>
      </c>
    </row>
    <row r="23" spans="1:6" x14ac:dyDescent="0.3">
      <c r="A23" s="13" t="s">
        <v>90</v>
      </c>
      <c r="B23" s="13" t="s">
        <v>413</v>
      </c>
      <c r="C23" s="13" t="s">
        <v>391</v>
      </c>
      <c r="D23" s="13" t="s">
        <v>407</v>
      </c>
      <c r="E23" s="13" t="s">
        <v>75</v>
      </c>
      <c r="F23" s="14">
        <v>152</v>
      </c>
    </row>
    <row r="24" spans="1:6" x14ac:dyDescent="0.3">
      <c r="A24" s="13" t="s">
        <v>90</v>
      </c>
      <c r="B24" s="13" t="s">
        <v>414</v>
      </c>
      <c r="C24" s="13" t="s">
        <v>391</v>
      </c>
      <c r="D24" s="13" t="s">
        <v>407</v>
      </c>
      <c r="E24" s="13" t="s">
        <v>75</v>
      </c>
      <c r="F24" s="14">
        <v>152</v>
      </c>
    </row>
    <row r="25" spans="1:6" x14ac:dyDescent="0.3">
      <c r="A25" s="13" t="s">
        <v>90</v>
      </c>
      <c r="B25" s="13" t="s">
        <v>415</v>
      </c>
      <c r="C25" s="13" t="s">
        <v>391</v>
      </c>
      <c r="D25" s="13" t="s">
        <v>407</v>
      </c>
      <c r="E25" s="13" t="s">
        <v>75</v>
      </c>
      <c r="F25" s="14">
        <v>152</v>
      </c>
    </row>
    <row r="26" spans="1:6" x14ac:dyDescent="0.3">
      <c r="A26" s="13" t="s">
        <v>90</v>
      </c>
      <c r="B26" s="13" t="s">
        <v>416</v>
      </c>
      <c r="C26" s="13" t="s">
        <v>391</v>
      </c>
      <c r="D26" s="13" t="s">
        <v>407</v>
      </c>
      <c r="E26" s="13" t="s">
        <v>75</v>
      </c>
      <c r="F26" s="14">
        <v>152</v>
      </c>
    </row>
    <row r="27" spans="1:6" x14ac:dyDescent="0.3">
      <c r="A27" s="13" t="s">
        <v>90</v>
      </c>
      <c r="B27" s="13" t="s">
        <v>417</v>
      </c>
      <c r="C27" s="13" t="s">
        <v>391</v>
      </c>
      <c r="D27" s="13" t="s">
        <v>407</v>
      </c>
      <c r="E27" s="13" t="s">
        <v>75</v>
      </c>
      <c r="F27" s="14">
        <v>152</v>
      </c>
    </row>
    <row r="28" spans="1:6" x14ac:dyDescent="0.3">
      <c r="A28" s="13" t="s">
        <v>90</v>
      </c>
      <c r="B28" s="13" t="s">
        <v>418</v>
      </c>
      <c r="C28" s="13" t="s">
        <v>391</v>
      </c>
      <c r="D28" s="13" t="s">
        <v>407</v>
      </c>
      <c r="E28" s="13" t="s">
        <v>75</v>
      </c>
      <c r="F28" s="14">
        <v>152</v>
      </c>
    </row>
    <row r="29" spans="1:6" x14ac:dyDescent="0.3">
      <c r="A29" s="13" t="s">
        <v>90</v>
      </c>
      <c r="B29" s="13" t="s">
        <v>419</v>
      </c>
      <c r="C29" s="13" t="s">
        <v>391</v>
      </c>
      <c r="D29" s="13" t="s">
        <v>407</v>
      </c>
      <c r="E29" s="13" t="s">
        <v>75</v>
      </c>
      <c r="F29" s="14">
        <v>152</v>
      </c>
    </row>
    <row r="30" spans="1:6" x14ac:dyDescent="0.3">
      <c r="A30" s="13" t="s">
        <v>90</v>
      </c>
      <c r="B30" s="13" t="s">
        <v>420</v>
      </c>
      <c r="C30" s="13" t="s">
        <v>391</v>
      </c>
      <c r="D30" s="13" t="s">
        <v>407</v>
      </c>
      <c r="E30" s="13" t="s">
        <v>75</v>
      </c>
      <c r="F30" s="14">
        <v>152</v>
      </c>
    </row>
    <row r="31" spans="1:6" x14ac:dyDescent="0.3">
      <c r="A31" s="13" t="s">
        <v>90</v>
      </c>
      <c r="B31" s="13" t="s">
        <v>421</v>
      </c>
      <c r="C31" s="13" t="s">
        <v>391</v>
      </c>
      <c r="D31" s="13" t="s">
        <v>407</v>
      </c>
      <c r="E31" s="13" t="s">
        <v>75</v>
      </c>
      <c r="F31" s="14">
        <v>152</v>
      </c>
    </row>
    <row r="32" spans="1:6" x14ac:dyDescent="0.3">
      <c r="A32" s="13" t="s">
        <v>90</v>
      </c>
      <c r="B32" s="13" t="s">
        <v>422</v>
      </c>
      <c r="C32" s="13" t="s">
        <v>391</v>
      </c>
      <c r="D32" s="13" t="s">
        <v>407</v>
      </c>
      <c r="E32" s="13" t="s">
        <v>75</v>
      </c>
      <c r="F32" s="14">
        <v>152</v>
      </c>
    </row>
    <row r="33" spans="1:6" x14ac:dyDescent="0.3">
      <c r="A33" s="13" t="s">
        <v>90</v>
      </c>
      <c r="B33" s="13" t="s">
        <v>423</v>
      </c>
      <c r="C33" s="13" t="s">
        <v>391</v>
      </c>
      <c r="D33" s="13" t="s">
        <v>407</v>
      </c>
      <c r="E33" s="13" t="s">
        <v>75</v>
      </c>
      <c r="F33" s="14">
        <v>152</v>
      </c>
    </row>
    <row r="34" spans="1:6" x14ac:dyDescent="0.3">
      <c r="A34" s="13" t="s">
        <v>90</v>
      </c>
      <c r="B34" s="13" t="s">
        <v>424</v>
      </c>
      <c r="C34" s="13" t="s">
        <v>391</v>
      </c>
      <c r="D34" s="13" t="s">
        <v>407</v>
      </c>
      <c r="E34" s="13" t="s">
        <v>75</v>
      </c>
      <c r="F34" s="14">
        <v>152</v>
      </c>
    </row>
    <row r="35" spans="1:6" x14ac:dyDescent="0.3">
      <c r="A35" s="13" t="s">
        <v>90</v>
      </c>
      <c r="B35" s="13" t="s">
        <v>425</v>
      </c>
      <c r="C35" s="13" t="s">
        <v>391</v>
      </c>
      <c r="D35" s="13" t="s">
        <v>407</v>
      </c>
      <c r="E35" s="13" t="s">
        <v>75</v>
      </c>
      <c r="F35" s="14">
        <v>152</v>
      </c>
    </row>
    <row r="36" spans="1:6" x14ac:dyDescent="0.3">
      <c r="A36" s="13" t="s">
        <v>90</v>
      </c>
      <c r="B36" s="13" t="s">
        <v>234</v>
      </c>
      <c r="C36" s="13" t="s">
        <v>391</v>
      </c>
      <c r="D36" s="13" t="s">
        <v>407</v>
      </c>
      <c r="E36" s="13" t="s">
        <v>75</v>
      </c>
      <c r="F36" s="14">
        <v>152</v>
      </c>
    </row>
    <row r="37" spans="1:6" x14ac:dyDescent="0.3">
      <c r="A37" s="13" t="s">
        <v>90</v>
      </c>
      <c r="B37" s="13" t="s">
        <v>427</v>
      </c>
      <c r="C37" s="13" t="s">
        <v>391</v>
      </c>
      <c r="D37" s="13" t="s">
        <v>407</v>
      </c>
      <c r="E37" s="13" t="s">
        <v>75</v>
      </c>
      <c r="F37" s="14">
        <v>152</v>
      </c>
    </row>
    <row r="38" spans="1:6" x14ac:dyDescent="0.3">
      <c r="A38" s="13" t="s">
        <v>90</v>
      </c>
      <c r="B38" s="13" t="s">
        <v>235</v>
      </c>
      <c r="C38" s="13" t="s">
        <v>391</v>
      </c>
      <c r="D38" s="13" t="s">
        <v>407</v>
      </c>
      <c r="E38" s="13" t="s">
        <v>75</v>
      </c>
      <c r="F38" s="14">
        <v>152</v>
      </c>
    </row>
    <row r="39" spans="1:6" x14ac:dyDescent="0.3">
      <c r="A39" s="13" t="s">
        <v>90</v>
      </c>
      <c r="B39" s="13" t="s">
        <v>428</v>
      </c>
      <c r="C39" s="13" t="s">
        <v>391</v>
      </c>
      <c r="D39" s="13" t="s">
        <v>407</v>
      </c>
      <c r="E39" s="13" t="s">
        <v>75</v>
      </c>
      <c r="F39" s="14">
        <v>152</v>
      </c>
    </row>
    <row r="40" spans="1:6" x14ac:dyDescent="0.3">
      <c r="A40" s="13" t="s">
        <v>90</v>
      </c>
      <c r="B40" s="13" t="s">
        <v>429</v>
      </c>
      <c r="C40" s="13" t="s">
        <v>391</v>
      </c>
      <c r="D40" s="13" t="s">
        <v>407</v>
      </c>
      <c r="E40" s="13" t="s">
        <v>75</v>
      </c>
      <c r="F40" s="14">
        <v>152</v>
      </c>
    </row>
    <row r="41" spans="1:6" x14ac:dyDescent="0.3">
      <c r="A41" s="13" t="s">
        <v>90</v>
      </c>
      <c r="B41" s="13" t="s">
        <v>430</v>
      </c>
      <c r="C41" s="13" t="s">
        <v>391</v>
      </c>
      <c r="D41" s="13" t="s">
        <v>407</v>
      </c>
      <c r="E41" s="13" t="s">
        <v>75</v>
      </c>
      <c r="F41" s="14">
        <v>152</v>
      </c>
    </row>
    <row r="42" spans="1:6" x14ac:dyDescent="0.3">
      <c r="A42" s="13" t="s">
        <v>90</v>
      </c>
      <c r="B42" s="13" t="s">
        <v>431</v>
      </c>
      <c r="C42" s="13" t="s">
        <v>391</v>
      </c>
      <c r="D42" s="13" t="s">
        <v>407</v>
      </c>
      <c r="E42" s="13" t="s">
        <v>75</v>
      </c>
      <c r="F42" s="14">
        <v>152</v>
      </c>
    </row>
    <row r="43" spans="1:6" x14ac:dyDescent="0.3">
      <c r="A43" s="13" t="s">
        <v>90</v>
      </c>
      <c r="B43" s="13" t="s">
        <v>432</v>
      </c>
      <c r="C43" s="13" t="s">
        <v>391</v>
      </c>
      <c r="D43" s="13" t="s">
        <v>407</v>
      </c>
      <c r="E43" s="13" t="s">
        <v>75</v>
      </c>
      <c r="F43" s="14">
        <v>152</v>
      </c>
    </row>
    <row r="44" spans="1:6" x14ac:dyDescent="0.3">
      <c r="A44" s="13" t="s">
        <v>90</v>
      </c>
      <c r="B44" s="13" t="s">
        <v>433</v>
      </c>
      <c r="C44" s="13" t="s">
        <v>391</v>
      </c>
      <c r="D44" s="13" t="s">
        <v>407</v>
      </c>
      <c r="E44" s="13" t="s">
        <v>75</v>
      </c>
      <c r="F44" s="14">
        <v>152</v>
      </c>
    </row>
    <row r="45" spans="1:6" x14ac:dyDescent="0.3">
      <c r="A45" s="13" t="s">
        <v>90</v>
      </c>
      <c r="B45" s="13" t="s">
        <v>434</v>
      </c>
      <c r="C45" s="13" t="s">
        <v>391</v>
      </c>
      <c r="D45" s="13" t="s">
        <v>407</v>
      </c>
      <c r="E45" s="13" t="s">
        <v>75</v>
      </c>
      <c r="F45" s="14">
        <v>152</v>
      </c>
    </row>
    <row r="46" spans="1:6" x14ac:dyDescent="0.3">
      <c r="A46" s="13" t="s">
        <v>90</v>
      </c>
      <c r="B46" s="13" t="s">
        <v>435</v>
      </c>
      <c r="C46" s="13" t="s">
        <v>391</v>
      </c>
      <c r="D46" s="13" t="s">
        <v>407</v>
      </c>
      <c r="E46" s="13" t="s">
        <v>75</v>
      </c>
      <c r="F46" s="14">
        <v>152</v>
      </c>
    </row>
    <row r="47" spans="1:6" x14ac:dyDescent="0.3">
      <c r="A47" s="13" t="s">
        <v>90</v>
      </c>
      <c r="B47" s="13" t="s">
        <v>436</v>
      </c>
      <c r="C47" s="13" t="s">
        <v>391</v>
      </c>
      <c r="D47" s="13" t="s">
        <v>407</v>
      </c>
      <c r="E47" s="13" t="s">
        <v>75</v>
      </c>
      <c r="F47" s="14">
        <v>152</v>
      </c>
    </row>
    <row r="48" spans="1:6" x14ac:dyDescent="0.3">
      <c r="A48" s="13" t="s">
        <v>90</v>
      </c>
      <c r="B48" s="13" t="s">
        <v>426</v>
      </c>
      <c r="C48" s="13" t="s">
        <v>391</v>
      </c>
      <c r="D48" s="13" t="s">
        <v>407</v>
      </c>
      <c r="E48" s="13" t="s">
        <v>75</v>
      </c>
      <c r="F48" s="14">
        <v>152</v>
      </c>
    </row>
    <row r="49" spans="1:6" x14ac:dyDescent="0.3">
      <c r="A49" s="13" t="s">
        <v>90</v>
      </c>
      <c r="B49" s="13" t="s">
        <v>437</v>
      </c>
      <c r="C49" s="13" t="s">
        <v>391</v>
      </c>
      <c r="D49" s="13" t="s">
        <v>407</v>
      </c>
      <c r="E49" s="13" t="s">
        <v>75</v>
      </c>
      <c r="F49" s="14">
        <v>152</v>
      </c>
    </row>
    <row r="50" spans="1:6" x14ac:dyDescent="0.3">
      <c r="A50" s="13" t="s">
        <v>90</v>
      </c>
      <c r="B50" s="13" t="s">
        <v>438</v>
      </c>
      <c r="C50" s="13" t="s">
        <v>391</v>
      </c>
      <c r="D50" s="13" t="s">
        <v>407</v>
      </c>
      <c r="E50" s="13" t="s">
        <v>75</v>
      </c>
      <c r="F50" s="14">
        <v>152</v>
      </c>
    </row>
    <row r="51" spans="1:6" x14ac:dyDescent="0.3">
      <c r="A51" s="13" t="s">
        <v>90</v>
      </c>
      <c r="B51" s="13" t="s">
        <v>439</v>
      </c>
      <c r="C51" s="13" t="s">
        <v>440</v>
      </c>
      <c r="D51" s="13" t="s">
        <v>407</v>
      </c>
      <c r="E51" s="13" t="s">
        <v>75</v>
      </c>
      <c r="F51" s="14">
        <v>152</v>
      </c>
    </row>
    <row r="52" spans="1:6" x14ac:dyDescent="0.3">
      <c r="A52" s="13" t="s">
        <v>90</v>
      </c>
      <c r="B52" s="13" t="s">
        <v>441</v>
      </c>
      <c r="C52" s="13" t="s">
        <v>391</v>
      </c>
      <c r="D52" s="13" t="s">
        <v>407</v>
      </c>
      <c r="E52" s="13" t="s">
        <v>75</v>
      </c>
      <c r="F52" s="14">
        <v>152</v>
      </c>
    </row>
    <row r="53" spans="1:6" x14ac:dyDescent="0.3">
      <c r="A53" s="13" t="s">
        <v>90</v>
      </c>
      <c r="B53" s="13" t="s">
        <v>442</v>
      </c>
      <c r="C53" s="13" t="s">
        <v>391</v>
      </c>
      <c r="D53" s="13" t="s">
        <v>407</v>
      </c>
      <c r="E53" s="13" t="s">
        <v>75</v>
      </c>
      <c r="F53" s="14">
        <v>152</v>
      </c>
    </row>
    <row r="54" spans="1:6" x14ac:dyDescent="0.3">
      <c r="A54" s="13" t="s">
        <v>127</v>
      </c>
      <c r="B54" s="13" t="s">
        <v>443</v>
      </c>
      <c r="C54" s="13" t="s">
        <v>391</v>
      </c>
      <c r="D54" s="13" t="s">
        <v>407</v>
      </c>
      <c r="E54" s="13" t="s">
        <v>75</v>
      </c>
      <c r="F54" s="14">
        <v>152</v>
      </c>
    </row>
    <row r="55" spans="1:6" x14ac:dyDescent="0.3">
      <c r="A55" s="13" t="s">
        <v>127</v>
      </c>
      <c r="B55" s="13" t="s">
        <v>444</v>
      </c>
      <c r="C55" s="13" t="s">
        <v>391</v>
      </c>
      <c r="D55" s="13" t="s">
        <v>407</v>
      </c>
      <c r="E55" s="13" t="s">
        <v>75</v>
      </c>
      <c r="F55" s="14">
        <v>152</v>
      </c>
    </row>
    <row r="56" spans="1:6" x14ac:dyDescent="0.3">
      <c r="A56" s="13" t="s">
        <v>136</v>
      </c>
      <c r="B56" s="13" t="s">
        <v>236</v>
      </c>
      <c r="C56" s="13" t="s">
        <v>394</v>
      </c>
      <c r="D56" s="13" t="s">
        <v>407</v>
      </c>
      <c r="E56" s="13" t="s">
        <v>75</v>
      </c>
      <c r="F56" s="14">
        <v>152</v>
      </c>
    </row>
    <row r="57" spans="1:6" x14ac:dyDescent="0.3">
      <c r="A57" s="13" t="s">
        <v>136</v>
      </c>
      <c r="B57" s="13" t="s">
        <v>445</v>
      </c>
      <c r="C57" s="13" t="s">
        <v>391</v>
      </c>
      <c r="D57" s="13" t="s">
        <v>407</v>
      </c>
      <c r="E57" s="13" t="s">
        <v>75</v>
      </c>
      <c r="F57" s="14">
        <v>152</v>
      </c>
    </row>
    <row r="58" spans="1:6" x14ac:dyDescent="0.3">
      <c r="A58" s="13" t="s">
        <v>136</v>
      </c>
      <c r="B58" s="13" t="s">
        <v>446</v>
      </c>
      <c r="C58" s="13" t="s">
        <v>391</v>
      </c>
      <c r="D58" s="13" t="s">
        <v>407</v>
      </c>
      <c r="E58" s="13" t="s">
        <v>75</v>
      </c>
      <c r="F58" s="14">
        <v>152</v>
      </c>
    </row>
    <row r="59" spans="1:6" x14ac:dyDescent="0.3">
      <c r="A59" s="13" t="s">
        <v>136</v>
      </c>
      <c r="B59" s="13" t="s">
        <v>447</v>
      </c>
      <c r="C59" s="13" t="s">
        <v>391</v>
      </c>
      <c r="D59" s="13" t="s">
        <v>407</v>
      </c>
      <c r="E59" s="13" t="s">
        <v>75</v>
      </c>
      <c r="F59" s="14">
        <v>152</v>
      </c>
    </row>
    <row r="60" spans="1:6" x14ac:dyDescent="0.3">
      <c r="A60" s="13" t="s">
        <v>136</v>
      </c>
      <c r="B60" s="13" t="s">
        <v>448</v>
      </c>
      <c r="C60" s="13" t="s">
        <v>391</v>
      </c>
      <c r="D60" s="13" t="s">
        <v>407</v>
      </c>
      <c r="E60" s="13" t="s">
        <v>75</v>
      </c>
      <c r="F60" s="14">
        <v>152</v>
      </c>
    </row>
    <row r="61" spans="1:6" x14ac:dyDescent="0.3">
      <c r="A61" s="13" t="s">
        <v>140</v>
      </c>
      <c r="B61" s="13" t="s">
        <v>449</v>
      </c>
      <c r="C61" s="13" t="s">
        <v>391</v>
      </c>
      <c r="D61" s="13" t="s">
        <v>407</v>
      </c>
      <c r="E61" s="13" t="s">
        <v>75</v>
      </c>
      <c r="F61" s="14">
        <v>152</v>
      </c>
    </row>
    <row r="62" spans="1:6" x14ac:dyDescent="0.3">
      <c r="A62" s="13" t="s">
        <v>140</v>
      </c>
      <c r="B62" s="13" t="s">
        <v>450</v>
      </c>
      <c r="C62" s="13" t="s">
        <v>391</v>
      </c>
      <c r="D62" s="13" t="s">
        <v>407</v>
      </c>
      <c r="E62" s="13" t="s">
        <v>75</v>
      </c>
      <c r="F62" s="14">
        <v>152</v>
      </c>
    </row>
    <row r="63" spans="1:6" x14ac:dyDescent="0.3">
      <c r="A63" s="13" t="s">
        <v>140</v>
      </c>
      <c r="B63" s="13" t="s">
        <v>451</v>
      </c>
      <c r="C63" s="13" t="s">
        <v>391</v>
      </c>
      <c r="D63" s="13" t="s">
        <v>407</v>
      </c>
      <c r="E63" s="13" t="s">
        <v>75</v>
      </c>
      <c r="F63" s="14">
        <v>152</v>
      </c>
    </row>
    <row r="64" spans="1:6" x14ac:dyDescent="0.3">
      <c r="A64" s="13" t="s">
        <v>140</v>
      </c>
      <c r="B64" s="13" t="s">
        <v>270</v>
      </c>
      <c r="C64" s="13" t="s">
        <v>391</v>
      </c>
      <c r="D64" s="13" t="s">
        <v>407</v>
      </c>
      <c r="E64" s="13" t="s">
        <v>75</v>
      </c>
      <c r="F64" s="14">
        <v>152</v>
      </c>
    </row>
    <row r="65" spans="1:6" x14ac:dyDescent="0.3">
      <c r="A65" s="13" t="s">
        <v>140</v>
      </c>
      <c r="B65" s="13" t="s">
        <v>452</v>
      </c>
      <c r="C65" s="13" t="s">
        <v>391</v>
      </c>
      <c r="D65" s="13" t="s">
        <v>407</v>
      </c>
      <c r="E65" s="13" t="s">
        <v>75</v>
      </c>
      <c r="F65" s="14">
        <v>152</v>
      </c>
    </row>
    <row r="66" spans="1:6" x14ac:dyDescent="0.3">
      <c r="A66" s="13" t="s">
        <v>140</v>
      </c>
      <c r="B66" s="13" t="s">
        <v>453</v>
      </c>
      <c r="C66" s="13" t="s">
        <v>391</v>
      </c>
      <c r="D66" s="13" t="s">
        <v>407</v>
      </c>
      <c r="E66" s="13" t="s">
        <v>75</v>
      </c>
      <c r="F66" s="14">
        <v>152</v>
      </c>
    </row>
    <row r="67" spans="1:6" x14ac:dyDescent="0.3">
      <c r="A67" s="13" t="s">
        <v>140</v>
      </c>
      <c r="B67" s="13" t="s">
        <v>454</v>
      </c>
      <c r="C67" s="13" t="s">
        <v>391</v>
      </c>
      <c r="D67" s="13" t="s">
        <v>407</v>
      </c>
      <c r="E67" s="13" t="s">
        <v>75</v>
      </c>
      <c r="F67" s="14">
        <v>152</v>
      </c>
    </row>
    <row r="68" spans="1:6" x14ac:dyDescent="0.3">
      <c r="A68" s="13" t="s">
        <v>140</v>
      </c>
      <c r="B68" s="13" t="s">
        <v>455</v>
      </c>
      <c r="C68" s="13" t="s">
        <v>391</v>
      </c>
      <c r="D68" s="13" t="s">
        <v>407</v>
      </c>
      <c r="E68" s="13" t="s">
        <v>75</v>
      </c>
      <c r="F68" s="14">
        <v>152</v>
      </c>
    </row>
    <row r="69" spans="1:6" x14ac:dyDescent="0.3">
      <c r="A69" s="13" t="s">
        <v>140</v>
      </c>
      <c r="B69" s="13" t="s">
        <v>456</v>
      </c>
      <c r="C69" s="13" t="s">
        <v>391</v>
      </c>
      <c r="D69" s="13" t="s">
        <v>407</v>
      </c>
      <c r="E69" s="13" t="s">
        <v>75</v>
      </c>
      <c r="F69" s="14">
        <v>152</v>
      </c>
    </row>
    <row r="70" spans="1:6" x14ac:dyDescent="0.3">
      <c r="A70" s="13" t="s">
        <v>140</v>
      </c>
      <c r="B70" s="13" t="s">
        <v>457</v>
      </c>
      <c r="C70" s="13" t="s">
        <v>391</v>
      </c>
      <c r="D70" s="13" t="s">
        <v>407</v>
      </c>
      <c r="E70" s="13" t="s">
        <v>75</v>
      </c>
      <c r="F70" s="14">
        <v>152</v>
      </c>
    </row>
    <row r="71" spans="1:6" x14ac:dyDescent="0.3">
      <c r="A71" s="13" t="s">
        <v>140</v>
      </c>
      <c r="B71" s="13" t="s">
        <v>458</v>
      </c>
      <c r="C71" s="13" t="s">
        <v>391</v>
      </c>
      <c r="D71" s="13" t="s">
        <v>407</v>
      </c>
      <c r="E71" s="13" t="s">
        <v>75</v>
      </c>
      <c r="F71" s="14">
        <v>152</v>
      </c>
    </row>
    <row r="72" spans="1:6" x14ac:dyDescent="0.3">
      <c r="A72" s="13" t="s">
        <v>140</v>
      </c>
      <c r="B72" s="13" t="s">
        <v>459</v>
      </c>
      <c r="C72" s="13" t="s">
        <v>391</v>
      </c>
      <c r="D72" s="13" t="s">
        <v>407</v>
      </c>
      <c r="E72" s="13" t="s">
        <v>75</v>
      </c>
      <c r="F72" s="14">
        <v>152</v>
      </c>
    </row>
    <row r="73" spans="1:6" x14ac:dyDescent="0.3">
      <c r="A73" s="13" t="s">
        <v>140</v>
      </c>
      <c r="B73" s="13" t="s">
        <v>299</v>
      </c>
      <c r="C73" s="13" t="s">
        <v>391</v>
      </c>
      <c r="D73" s="13" t="s">
        <v>407</v>
      </c>
      <c r="E73" s="13" t="s">
        <v>75</v>
      </c>
      <c r="F73" s="14">
        <v>152</v>
      </c>
    </row>
    <row r="74" spans="1:6" x14ac:dyDescent="0.3">
      <c r="A74" s="13" t="s">
        <v>140</v>
      </c>
      <c r="B74" s="13" t="s">
        <v>305</v>
      </c>
      <c r="C74" s="13" t="s">
        <v>391</v>
      </c>
      <c r="D74" s="13" t="s">
        <v>407</v>
      </c>
      <c r="E74" s="13" t="s">
        <v>75</v>
      </c>
      <c r="F74" s="14">
        <v>152</v>
      </c>
    </row>
    <row r="75" spans="1:6" x14ac:dyDescent="0.3">
      <c r="A75" s="13" t="s">
        <v>140</v>
      </c>
      <c r="B75" s="13" t="s">
        <v>268</v>
      </c>
      <c r="C75" s="13" t="s">
        <v>391</v>
      </c>
      <c r="D75" s="13" t="s">
        <v>407</v>
      </c>
      <c r="E75" s="13" t="s">
        <v>75</v>
      </c>
      <c r="F75" s="14">
        <v>152</v>
      </c>
    </row>
    <row r="76" spans="1:6" x14ac:dyDescent="0.3">
      <c r="A76" s="13" t="s">
        <v>140</v>
      </c>
      <c r="B76" s="13" t="s">
        <v>269</v>
      </c>
      <c r="C76" s="13" t="s">
        <v>391</v>
      </c>
      <c r="D76" s="13" t="s">
        <v>407</v>
      </c>
      <c r="E76" s="13" t="s">
        <v>75</v>
      </c>
      <c r="F76" s="14">
        <v>152</v>
      </c>
    </row>
    <row r="77" spans="1:6" x14ac:dyDescent="0.3">
      <c r="A77" s="13" t="s">
        <v>140</v>
      </c>
      <c r="B77" s="13" t="s">
        <v>271</v>
      </c>
      <c r="C77" s="13" t="s">
        <v>391</v>
      </c>
      <c r="D77" s="13" t="s">
        <v>407</v>
      </c>
      <c r="E77" s="13" t="s">
        <v>75</v>
      </c>
      <c r="F77" s="14">
        <v>152</v>
      </c>
    </row>
    <row r="78" spans="1:6" x14ac:dyDescent="0.3">
      <c r="A78" s="13" t="s">
        <v>140</v>
      </c>
      <c r="B78" s="13" t="s">
        <v>460</v>
      </c>
      <c r="C78" s="13" t="s">
        <v>391</v>
      </c>
      <c r="D78" s="13" t="s">
        <v>407</v>
      </c>
      <c r="E78" s="13" t="s">
        <v>75</v>
      </c>
      <c r="F78" s="14">
        <v>152</v>
      </c>
    </row>
    <row r="79" spans="1:6" x14ac:dyDescent="0.3">
      <c r="A79" s="13" t="s">
        <v>140</v>
      </c>
      <c r="B79" s="13" t="s">
        <v>461</v>
      </c>
      <c r="C79" s="13" t="s">
        <v>391</v>
      </c>
      <c r="D79" s="13" t="s">
        <v>407</v>
      </c>
      <c r="E79" s="13" t="s">
        <v>75</v>
      </c>
      <c r="F79" s="14">
        <v>152</v>
      </c>
    </row>
    <row r="80" spans="1:6" x14ac:dyDescent="0.3">
      <c r="A80" s="13" t="s">
        <v>140</v>
      </c>
      <c r="B80" s="13" t="s">
        <v>462</v>
      </c>
      <c r="C80" s="13" t="s">
        <v>391</v>
      </c>
      <c r="D80" s="13" t="s">
        <v>407</v>
      </c>
      <c r="E80" s="13" t="s">
        <v>75</v>
      </c>
      <c r="F80" s="14">
        <v>152</v>
      </c>
    </row>
    <row r="81" spans="1:6" x14ac:dyDescent="0.3">
      <c r="A81" s="13" t="s">
        <v>140</v>
      </c>
      <c r="B81" s="13" t="s">
        <v>463</v>
      </c>
      <c r="C81" s="13" t="s">
        <v>391</v>
      </c>
      <c r="D81" s="13" t="s">
        <v>407</v>
      </c>
      <c r="E81" s="13" t="s">
        <v>75</v>
      </c>
      <c r="F81" s="14">
        <v>152</v>
      </c>
    </row>
    <row r="82" spans="1:6" x14ac:dyDescent="0.3">
      <c r="A82" s="13" t="s">
        <v>140</v>
      </c>
      <c r="B82" s="13" t="s">
        <v>464</v>
      </c>
      <c r="C82" s="13" t="s">
        <v>391</v>
      </c>
      <c r="D82" s="13" t="s">
        <v>407</v>
      </c>
      <c r="E82" s="13" t="s">
        <v>75</v>
      </c>
      <c r="F82" s="14">
        <v>152</v>
      </c>
    </row>
    <row r="83" spans="1:6" x14ac:dyDescent="0.3">
      <c r="A83" s="13" t="s">
        <v>140</v>
      </c>
      <c r="B83" s="13" t="s">
        <v>465</v>
      </c>
      <c r="C83" s="13" t="s">
        <v>391</v>
      </c>
      <c r="D83" s="13" t="s">
        <v>407</v>
      </c>
      <c r="E83" s="13" t="s">
        <v>75</v>
      </c>
      <c r="F83" s="14">
        <v>152</v>
      </c>
    </row>
    <row r="84" spans="1:6" x14ac:dyDescent="0.3">
      <c r="A84" s="13" t="s">
        <v>140</v>
      </c>
      <c r="B84" s="13" t="s">
        <v>466</v>
      </c>
      <c r="C84" s="13" t="s">
        <v>391</v>
      </c>
      <c r="D84" s="13" t="s">
        <v>407</v>
      </c>
      <c r="E84" s="13" t="s">
        <v>75</v>
      </c>
      <c r="F84" s="14">
        <v>152</v>
      </c>
    </row>
    <row r="85" spans="1:6" x14ac:dyDescent="0.3">
      <c r="A85" s="13" t="s">
        <v>140</v>
      </c>
      <c r="B85" s="13" t="s">
        <v>467</v>
      </c>
      <c r="C85" s="13" t="s">
        <v>391</v>
      </c>
      <c r="D85" s="13" t="s">
        <v>407</v>
      </c>
      <c r="E85" s="13" t="s">
        <v>75</v>
      </c>
      <c r="F85" s="14">
        <v>152</v>
      </c>
    </row>
    <row r="86" spans="1:6" x14ac:dyDescent="0.3">
      <c r="A86" s="13" t="s">
        <v>140</v>
      </c>
      <c r="B86" s="13" t="s">
        <v>468</v>
      </c>
      <c r="C86" s="13" t="s">
        <v>391</v>
      </c>
      <c r="D86" s="13" t="s">
        <v>407</v>
      </c>
      <c r="E86" s="13" t="s">
        <v>75</v>
      </c>
      <c r="F86" s="14">
        <v>152</v>
      </c>
    </row>
    <row r="87" spans="1:6" x14ac:dyDescent="0.3">
      <c r="A87" s="13" t="s">
        <v>140</v>
      </c>
      <c r="B87" s="13" t="s">
        <v>469</v>
      </c>
      <c r="C87" s="13" t="s">
        <v>391</v>
      </c>
      <c r="D87" s="13" t="s">
        <v>407</v>
      </c>
      <c r="E87" s="13" t="s">
        <v>75</v>
      </c>
      <c r="F87" s="14">
        <v>152</v>
      </c>
    </row>
    <row r="88" spans="1:6" x14ac:dyDescent="0.3">
      <c r="A88" s="13" t="s">
        <v>140</v>
      </c>
      <c r="B88" s="13" t="s">
        <v>470</v>
      </c>
      <c r="C88" s="13" t="s">
        <v>391</v>
      </c>
      <c r="D88" s="13" t="s">
        <v>407</v>
      </c>
      <c r="E88" s="13" t="s">
        <v>75</v>
      </c>
      <c r="F88" s="14">
        <v>152</v>
      </c>
    </row>
    <row r="89" spans="1:6" x14ac:dyDescent="0.3">
      <c r="A89" s="13" t="s">
        <v>140</v>
      </c>
      <c r="B89" s="13" t="s">
        <v>267</v>
      </c>
      <c r="C89" s="13" t="s">
        <v>391</v>
      </c>
      <c r="D89" s="13" t="s">
        <v>407</v>
      </c>
      <c r="E89" s="13" t="s">
        <v>75</v>
      </c>
      <c r="F89" s="14">
        <v>152</v>
      </c>
    </row>
    <row r="90" spans="1:6" x14ac:dyDescent="0.3">
      <c r="A90" s="13" t="s">
        <v>140</v>
      </c>
      <c r="B90" s="13" t="s">
        <v>471</v>
      </c>
      <c r="C90" s="13" t="s">
        <v>391</v>
      </c>
      <c r="D90" s="13" t="s">
        <v>407</v>
      </c>
      <c r="E90" s="13" t="s">
        <v>75</v>
      </c>
      <c r="F90" s="14">
        <v>152</v>
      </c>
    </row>
    <row r="91" spans="1:6" x14ac:dyDescent="0.3">
      <c r="A91" s="13" t="s">
        <v>140</v>
      </c>
      <c r="B91" s="13" t="s">
        <v>256</v>
      </c>
      <c r="C91" s="13" t="s">
        <v>391</v>
      </c>
      <c r="D91" s="13" t="s">
        <v>407</v>
      </c>
      <c r="E91" s="13" t="s">
        <v>75</v>
      </c>
      <c r="F91" s="14">
        <v>152</v>
      </c>
    </row>
    <row r="92" spans="1:6" x14ac:dyDescent="0.3">
      <c r="A92" s="13" t="s">
        <v>140</v>
      </c>
      <c r="B92" s="13" t="s">
        <v>255</v>
      </c>
      <c r="C92" s="13" t="s">
        <v>391</v>
      </c>
      <c r="D92" s="13" t="s">
        <v>407</v>
      </c>
      <c r="E92" s="13" t="s">
        <v>75</v>
      </c>
      <c r="F92" s="14">
        <v>152</v>
      </c>
    </row>
    <row r="93" spans="1:6" x14ac:dyDescent="0.3">
      <c r="A93" s="13" t="s">
        <v>140</v>
      </c>
      <c r="B93" s="13" t="s">
        <v>266</v>
      </c>
      <c r="C93" s="13" t="s">
        <v>391</v>
      </c>
      <c r="D93" s="13" t="s">
        <v>407</v>
      </c>
      <c r="E93" s="13" t="s">
        <v>75</v>
      </c>
      <c r="F93" s="14">
        <v>152</v>
      </c>
    </row>
    <row r="94" spans="1:6" x14ac:dyDescent="0.3">
      <c r="A94" s="13" t="s">
        <v>140</v>
      </c>
      <c r="B94" s="13" t="s">
        <v>159</v>
      </c>
      <c r="C94" s="13" t="s">
        <v>391</v>
      </c>
      <c r="D94" s="13" t="s">
        <v>407</v>
      </c>
      <c r="E94" s="13" t="s">
        <v>75</v>
      </c>
      <c r="F94" s="14">
        <v>152</v>
      </c>
    </row>
    <row r="95" spans="1:6" x14ac:dyDescent="0.3">
      <c r="A95" s="13" t="s">
        <v>140</v>
      </c>
      <c r="B95" s="13" t="s">
        <v>302</v>
      </c>
      <c r="C95" s="13" t="s">
        <v>391</v>
      </c>
      <c r="D95" s="13" t="s">
        <v>407</v>
      </c>
      <c r="E95" s="13" t="s">
        <v>75</v>
      </c>
      <c r="F95" s="14">
        <v>152</v>
      </c>
    </row>
    <row r="96" spans="1:6" x14ac:dyDescent="0.3">
      <c r="A96" s="13" t="s">
        <v>140</v>
      </c>
      <c r="B96" s="13" t="s">
        <v>264</v>
      </c>
      <c r="C96" s="13" t="s">
        <v>391</v>
      </c>
      <c r="D96" s="13" t="s">
        <v>407</v>
      </c>
      <c r="E96" s="13" t="s">
        <v>75</v>
      </c>
      <c r="F96" s="14">
        <v>152</v>
      </c>
    </row>
    <row r="97" spans="1:6" x14ac:dyDescent="0.3">
      <c r="A97" s="13" t="s">
        <v>140</v>
      </c>
      <c r="B97" s="13" t="s">
        <v>261</v>
      </c>
      <c r="C97" s="13" t="s">
        <v>391</v>
      </c>
      <c r="D97" s="13" t="s">
        <v>407</v>
      </c>
      <c r="E97" s="13" t="s">
        <v>75</v>
      </c>
      <c r="F97" s="14">
        <v>152</v>
      </c>
    </row>
    <row r="98" spans="1:6" x14ac:dyDescent="0.3">
      <c r="A98" s="13" t="s">
        <v>140</v>
      </c>
      <c r="B98" s="13" t="s">
        <v>265</v>
      </c>
      <c r="C98" s="13" t="s">
        <v>391</v>
      </c>
      <c r="D98" s="13" t="s">
        <v>407</v>
      </c>
      <c r="E98" s="13" t="s">
        <v>75</v>
      </c>
      <c r="F98" s="14">
        <v>152</v>
      </c>
    </row>
    <row r="99" spans="1:6" x14ac:dyDescent="0.3">
      <c r="A99" s="13" t="s">
        <v>140</v>
      </c>
      <c r="B99" s="13" t="s">
        <v>253</v>
      </c>
      <c r="C99" s="13" t="s">
        <v>391</v>
      </c>
      <c r="D99" s="13" t="s">
        <v>407</v>
      </c>
      <c r="E99" s="13" t="s">
        <v>75</v>
      </c>
      <c r="F99" s="14">
        <v>152</v>
      </c>
    </row>
    <row r="100" spans="1:6" x14ac:dyDescent="0.3">
      <c r="A100" s="13" t="s">
        <v>140</v>
      </c>
      <c r="B100" s="13" t="s">
        <v>251</v>
      </c>
      <c r="C100" s="13" t="s">
        <v>391</v>
      </c>
      <c r="D100" s="13" t="s">
        <v>407</v>
      </c>
      <c r="E100" s="13" t="s">
        <v>75</v>
      </c>
      <c r="F100" s="14">
        <v>152</v>
      </c>
    </row>
    <row r="101" spans="1:6" x14ac:dyDescent="0.3">
      <c r="A101" s="13" t="s">
        <v>140</v>
      </c>
      <c r="B101" s="13" t="s">
        <v>258</v>
      </c>
      <c r="C101" s="13" t="s">
        <v>391</v>
      </c>
      <c r="D101" s="13" t="s">
        <v>407</v>
      </c>
      <c r="E101" s="13" t="s">
        <v>75</v>
      </c>
      <c r="F101" s="14">
        <v>152</v>
      </c>
    </row>
    <row r="102" spans="1:6" x14ac:dyDescent="0.3">
      <c r="A102" s="13" t="s">
        <v>140</v>
      </c>
      <c r="B102" s="13" t="s">
        <v>472</v>
      </c>
      <c r="C102" s="13" t="s">
        <v>391</v>
      </c>
      <c r="D102" s="13" t="s">
        <v>407</v>
      </c>
      <c r="E102" s="13" t="s">
        <v>75</v>
      </c>
      <c r="F102" s="14">
        <v>152</v>
      </c>
    </row>
    <row r="103" spans="1:6" x14ac:dyDescent="0.3">
      <c r="A103" s="13" t="s">
        <v>140</v>
      </c>
      <c r="B103" s="13" t="s">
        <v>473</v>
      </c>
      <c r="C103" s="13" t="s">
        <v>391</v>
      </c>
      <c r="D103" s="13" t="s">
        <v>407</v>
      </c>
      <c r="E103" s="13" t="s">
        <v>75</v>
      </c>
      <c r="F103" s="14">
        <v>152</v>
      </c>
    </row>
    <row r="104" spans="1:6" x14ac:dyDescent="0.3">
      <c r="A104" s="13" t="s">
        <v>140</v>
      </c>
      <c r="B104" s="13" t="s">
        <v>254</v>
      </c>
      <c r="C104" s="13" t="s">
        <v>391</v>
      </c>
      <c r="D104" s="13" t="s">
        <v>407</v>
      </c>
      <c r="E104" s="13" t="s">
        <v>75</v>
      </c>
      <c r="F104" s="14">
        <v>152</v>
      </c>
    </row>
    <row r="105" spans="1:6" x14ac:dyDescent="0.3">
      <c r="A105" s="13" t="s">
        <v>140</v>
      </c>
      <c r="B105" s="13" t="s">
        <v>257</v>
      </c>
      <c r="C105" s="13" t="s">
        <v>391</v>
      </c>
      <c r="D105" s="13" t="s">
        <v>407</v>
      </c>
      <c r="E105" s="13" t="s">
        <v>75</v>
      </c>
      <c r="F105" s="14">
        <v>152</v>
      </c>
    </row>
    <row r="106" spans="1:6" x14ac:dyDescent="0.3">
      <c r="A106" s="13" t="s">
        <v>140</v>
      </c>
      <c r="B106" s="13" t="s">
        <v>259</v>
      </c>
      <c r="C106" s="13" t="s">
        <v>391</v>
      </c>
      <c r="D106" s="13" t="s">
        <v>407</v>
      </c>
      <c r="E106" s="13" t="s">
        <v>75</v>
      </c>
      <c r="F106" s="14">
        <v>152</v>
      </c>
    </row>
    <row r="107" spans="1:6" x14ac:dyDescent="0.3">
      <c r="A107" s="13" t="s">
        <v>140</v>
      </c>
      <c r="B107" s="13" t="s">
        <v>260</v>
      </c>
      <c r="C107" s="13" t="s">
        <v>391</v>
      </c>
      <c r="D107" s="13" t="s">
        <v>407</v>
      </c>
      <c r="E107" s="13" t="s">
        <v>75</v>
      </c>
      <c r="F107" s="14">
        <v>152</v>
      </c>
    </row>
    <row r="108" spans="1:6" x14ac:dyDescent="0.3">
      <c r="A108" s="13" t="s">
        <v>140</v>
      </c>
      <c r="B108" s="13" t="s">
        <v>474</v>
      </c>
      <c r="C108" s="13" t="s">
        <v>391</v>
      </c>
      <c r="D108" s="13" t="s">
        <v>407</v>
      </c>
      <c r="E108" s="13" t="s">
        <v>75</v>
      </c>
      <c r="F108" s="14">
        <v>152</v>
      </c>
    </row>
    <row r="109" spans="1:6" x14ac:dyDescent="0.3">
      <c r="A109" s="13" t="s">
        <v>140</v>
      </c>
      <c r="B109" s="13" t="s">
        <v>252</v>
      </c>
      <c r="C109" s="13" t="s">
        <v>391</v>
      </c>
      <c r="D109" s="13" t="s">
        <v>407</v>
      </c>
      <c r="E109" s="13" t="s">
        <v>75</v>
      </c>
      <c r="F109" s="14">
        <v>152</v>
      </c>
    </row>
    <row r="110" spans="1:6" x14ac:dyDescent="0.3">
      <c r="A110" s="13" t="s">
        <v>169</v>
      </c>
      <c r="B110" s="13" t="s">
        <v>475</v>
      </c>
      <c r="C110" s="13" t="s">
        <v>394</v>
      </c>
      <c r="D110" s="13" t="s">
        <v>407</v>
      </c>
      <c r="E110" s="13" t="s">
        <v>75</v>
      </c>
      <c r="F110" s="14">
        <v>152</v>
      </c>
    </row>
    <row r="111" spans="1:6" x14ac:dyDescent="0.3">
      <c r="A111" s="13" t="s">
        <v>169</v>
      </c>
      <c r="B111" s="13" t="s">
        <v>476</v>
      </c>
      <c r="C111" s="13" t="s">
        <v>394</v>
      </c>
      <c r="D111" s="13" t="s">
        <v>407</v>
      </c>
      <c r="E111" s="13" t="s">
        <v>75</v>
      </c>
      <c r="F111" s="14">
        <v>152</v>
      </c>
    </row>
    <row r="112" spans="1:6" x14ac:dyDescent="0.3">
      <c r="A112" s="13" t="s">
        <v>171</v>
      </c>
      <c r="B112" s="13" t="s">
        <v>477</v>
      </c>
      <c r="C112" s="13" t="s">
        <v>394</v>
      </c>
      <c r="D112" s="13" t="s">
        <v>407</v>
      </c>
      <c r="E112" s="13" t="s">
        <v>75</v>
      </c>
      <c r="F112" s="14">
        <v>152</v>
      </c>
    </row>
    <row r="113" spans="1:6" x14ac:dyDescent="0.3">
      <c r="A113" s="13" t="s">
        <v>175</v>
      </c>
      <c r="B113" s="13" t="s">
        <v>478</v>
      </c>
      <c r="C113" s="13" t="s">
        <v>394</v>
      </c>
      <c r="D113" s="13" t="s">
        <v>407</v>
      </c>
      <c r="E113" s="13" t="s">
        <v>75</v>
      </c>
      <c r="F113" s="14">
        <v>152</v>
      </c>
    </row>
    <row r="114" spans="1:6" x14ac:dyDescent="0.3">
      <c r="A114" s="13" t="s">
        <v>175</v>
      </c>
      <c r="B114" s="13" t="s">
        <v>479</v>
      </c>
      <c r="C114" s="13" t="s">
        <v>394</v>
      </c>
      <c r="D114" s="13" t="s">
        <v>407</v>
      </c>
      <c r="E114" s="13" t="s">
        <v>75</v>
      </c>
      <c r="F114" s="14">
        <v>152</v>
      </c>
    </row>
    <row r="115" spans="1:6" x14ac:dyDescent="0.3">
      <c r="A115" s="13" t="s">
        <v>175</v>
      </c>
      <c r="B115" s="13" t="s">
        <v>480</v>
      </c>
      <c r="C115" s="13" t="s">
        <v>394</v>
      </c>
      <c r="D115" s="13" t="s">
        <v>407</v>
      </c>
      <c r="E115" s="13" t="s">
        <v>75</v>
      </c>
      <c r="F115" s="14">
        <v>152</v>
      </c>
    </row>
    <row r="116" spans="1:6" x14ac:dyDescent="0.3">
      <c r="A116" s="13" t="s">
        <v>175</v>
      </c>
      <c r="B116" s="13" t="s">
        <v>481</v>
      </c>
      <c r="C116" s="13" t="s">
        <v>394</v>
      </c>
      <c r="D116" s="13" t="s">
        <v>407</v>
      </c>
      <c r="E116" s="13" t="s">
        <v>75</v>
      </c>
      <c r="F116" s="14">
        <v>152</v>
      </c>
    </row>
    <row r="117" spans="1:6" x14ac:dyDescent="0.3">
      <c r="A117" s="13" t="s">
        <v>175</v>
      </c>
      <c r="B117" s="13" t="s">
        <v>482</v>
      </c>
      <c r="C117" s="13" t="s">
        <v>394</v>
      </c>
      <c r="D117" s="13" t="s">
        <v>407</v>
      </c>
      <c r="E117" s="13" t="s">
        <v>75</v>
      </c>
      <c r="F117" s="14">
        <v>152</v>
      </c>
    </row>
    <row r="118" spans="1:6" x14ac:dyDescent="0.3">
      <c r="A118" s="13" t="s">
        <v>175</v>
      </c>
      <c r="B118" s="13" t="s">
        <v>483</v>
      </c>
      <c r="C118" s="13" t="s">
        <v>394</v>
      </c>
      <c r="D118" s="13" t="s">
        <v>407</v>
      </c>
      <c r="E118" s="13" t="s">
        <v>75</v>
      </c>
      <c r="F118" s="14">
        <v>152</v>
      </c>
    </row>
    <row r="119" spans="1:6" x14ac:dyDescent="0.3">
      <c r="A119" s="13" t="s">
        <v>175</v>
      </c>
      <c r="B119" s="13" t="s">
        <v>484</v>
      </c>
      <c r="C119" s="13" t="s">
        <v>394</v>
      </c>
      <c r="D119" s="13" t="s">
        <v>407</v>
      </c>
      <c r="E119" s="13" t="s">
        <v>75</v>
      </c>
      <c r="F119" s="14">
        <v>152</v>
      </c>
    </row>
    <row r="120" spans="1:6" x14ac:dyDescent="0.3">
      <c r="A120" s="13" t="s">
        <v>175</v>
      </c>
      <c r="B120" s="13" t="s">
        <v>485</v>
      </c>
      <c r="C120" s="13" t="s">
        <v>394</v>
      </c>
      <c r="D120" s="13" t="s">
        <v>407</v>
      </c>
      <c r="E120" s="13" t="s">
        <v>75</v>
      </c>
      <c r="F120" s="14">
        <v>152</v>
      </c>
    </row>
    <row r="121" spans="1:6" x14ac:dyDescent="0.3">
      <c r="A121" s="13" t="s">
        <v>175</v>
      </c>
      <c r="B121" s="13" t="s">
        <v>486</v>
      </c>
      <c r="C121" s="13" t="s">
        <v>394</v>
      </c>
      <c r="D121" s="13" t="s">
        <v>407</v>
      </c>
      <c r="E121" s="13" t="s">
        <v>75</v>
      </c>
      <c r="F121" s="14">
        <v>152</v>
      </c>
    </row>
    <row r="122" spans="1:6" x14ac:dyDescent="0.3">
      <c r="A122" s="13" t="s">
        <v>175</v>
      </c>
      <c r="B122" s="13" t="s">
        <v>487</v>
      </c>
      <c r="C122" s="13" t="s">
        <v>394</v>
      </c>
      <c r="D122" s="13" t="s">
        <v>407</v>
      </c>
      <c r="E122" s="13" t="s">
        <v>75</v>
      </c>
      <c r="F122" s="14">
        <v>152</v>
      </c>
    </row>
    <row r="123" spans="1:6" x14ac:dyDescent="0.3">
      <c r="A123" s="13" t="s">
        <v>175</v>
      </c>
      <c r="B123" s="13" t="s">
        <v>488</v>
      </c>
      <c r="C123" s="13" t="s">
        <v>394</v>
      </c>
      <c r="D123" s="13" t="s">
        <v>407</v>
      </c>
      <c r="E123" s="13" t="s">
        <v>75</v>
      </c>
      <c r="F123" s="14">
        <v>152</v>
      </c>
    </row>
    <row r="124" spans="1:6" x14ac:dyDescent="0.3">
      <c r="A124" s="13" t="s">
        <v>175</v>
      </c>
      <c r="B124" s="13" t="s">
        <v>489</v>
      </c>
      <c r="C124" s="13" t="s">
        <v>394</v>
      </c>
      <c r="D124" s="13" t="s">
        <v>407</v>
      </c>
      <c r="E124" s="13" t="s">
        <v>75</v>
      </c>
      <c r="F124" s="14">
        <v>152</v>
      </c>
    </row>
    <row r="125" spans="1:6" x14ac:dyDescent="0.3">
      <c r="A125" s="13" t="s">
        <v>175</v>
      </c>
      <c r="B125" s="13" t="s">
        <v>490</v>
      </c>
      <c r="C125" s="13" t="s">
        <v>394</v>
      </c>
      <c r="D125" s="13" t="s">
        <v>407</v>
      </c>
      <c r="E125" s="13" t="s">
        <v>75</v>
      </c>
      <c r="F125" s="14">
        <v>152</v>
      </c>
    </row>
    <row r="126" spans="1:6" x14ac:dyDescent="0.3">
      <c r="A126" s="13" t="s">
        <v>175</v>
      </c>
      <c r="B126" s="13" t="s">
        <v>491</v>
      </c>
      <c r="C126" s="13" t="s">
        <v>394</v>
      </c>
      <c r="D126" s="13" t="s">
        <v>407</v>
      </c>
      <c r="E126" s="13" t="s">
        <v>75</v>
      </c>
      <c r="F126" s="14">
        <v>152</v>
      </c>
    </row>
    <row r="127" spans="1:6" x14ac:dyDescent="0.3">
      <c r="A127" s="13" t="s">
        <v>175</v>
      </c>
      <c r="B127" s="13" t="s">
        <v>492</v>
      </c>
      <c r="C127" s="13" t="s">
        <v>394</v>
      </c>
      <c r="D127" s="13" t="s">
        <v>407</v>
      </c>
      <c r="E127" s="13" t="s">
        <v>75</v>
      </c>
      <c r="F127" s="14">
        <v>152</v>
      </c>
    </row>
    <row r="128" spans="1:6" x14ac:dyDescent="0.3">
      <c r="A128" s="13" t="s">
        <v>175</v>
      </c>
      <c r="B128" s="13" t="s">
        <v>493</v>
      </c>
      <c r="C128" s="13" t="s">
        <v>394</v>
      </c>
      <c r="D128" s="13" t="s">
        <v>407</v>
      </c>
      <c r="E128" s="13" t="s">
        <v>75</v>
      </c>
      <c r="F128" s="14">
        <v>152</v>
      </c>
    </row>
    <row r="129" spans="1:6" x14ac:dyDescent="0.3">
      <c r="A129" s="13" t="s">
        <v>175</v>
      </c>
      <c r="B129" s="13" t="s">
        <v>494</v>
      </c>
      <c r="C129" s="13" t="s">
        <v>394</v>
      </c>
      <c r="D129" s="13" t="s">
        <v>407</v>
      </c>
      <c r="E129" s="13" t="s">
        <v>75</v>
      </c>
      <c r="F129" s="14">
        <v>152</v>
      </c>
    </row>
    <row r="130" spans="1:6" x14ac:dyDescent="0.3">
      <c r="A130" s="13" t="s">
        <v>175</v>
      </c>
      <c r="B130" s="13" t="s">
        <v>495</v>
      </c>
      <c r="C130" s="13" t="s">
        <v>394</v>
      </c>
      <c r="D130" s="13" t="s">
        <v>407</v>
      </c>
      <c r="E130" s="13" t="s">
        <v>75</v>
      </c>
      <c r="F130" s="14">
        <v>152</v>
      </c>
    </row>
    <row r="131" spans="1:6" x14ac:dyDescent="0.3">
      <c r="A131" s="13" t="s">
        <v>175</v>
      </c>
      <c r="B131" s="13" t="s">
        <v>496</v>
      </c>
      <c r="C131" s="13" t="s">
        <v>394</v>
      </c>
      <c r="D131" s="13" t="s">
        <v>407</v>
      </c>
      <c r="E131" s="13" t="s">
        <v>75</v>
      </c>
      <c r="F131" s="14">
        <v>152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9392-607D-4848-B3D1-65986E038D89}">
  <dimension ref="A1:J204"/>
  <sheetViews>
    <sheetView tabSelected="1" workbookViewId="0">
      <selection activeCell="D20" sqref="A1:J204"/>
    </sheetView>
  </sheetViews>
  <sheetFormatPr defaultRowHeight="14.4" x14ac:dyDescent="0.3"/>
  <cols>
    <col min="1" max="1" width="14" customWidth="1"/>
    <col min="2" max="2" width="13" customWidth="1"/>
    <col min="3" max="3" width="18" style="19" customWidth="1"/>
    <col min="4" max="4" width="30" customWidth="1"/>
    <col min="5" max="5" width="33.88671875" customWidth="1"/>
    <col min="6" max="6" width="20.77734375" bestFit="1" customWidth="1"/>
    <col min="7" max="7" width="10" style="18" bestFit="1" customWidth="1"/>
    <col min="8" max="8" width="20" style="18" customWidth="1"/>
    <col min="9" max="9" width="22" bestFit="1" customWidth="1"/>
    <col min="10" max="10" width="14" customWidth="1"/>
    <col min="11" max="11" width="24.6640625" bestFit="1" customWidth="1"/>
  </cols>
  <sheetData>
    <row r="1" spans="1:10" x14ac:dyDescent="0.3">
      <c r="A1" s="22" t="s">
        <v>812</v>
      </c>
      <c r="B1" s="22" t="s">
        <v>811</v>
      </c>
      <c r="C1" s="23" t="s">
        <v>810</v>
      </c>
      <c r="D1" s="22" t="s">
        <v>809</v>
      </c>
      <c r="E1" s="22" t="s">
        <v>40</v>
      </c>
      <c r="F1" s="22" t="s">
        <v>39</v>
      </c>
      <c r="G1" s="22" t="s">
        <v>15</v>
      </c>
      <c r="H1" s="22" t="s">
        <v>808</v>
      </c>
      <c r="I1" s="22" t="s">
        <v>807</v>
      </c>
      <c r="J1" s="22" t="s">
        <v>806</v>
      </c>
    </row>
    <row r="2" spans="1:10" x14ac:dyDescent="0.3">
      <c r="A2" s="13" t="s">
        <v>800</v>
      </c>
      <c r="B2" s="21">
        <v>46174</v>
      </c>
      <c r="C2" s="20">
        <v>872532826995</v>
      </c>
      <c r="D2" s="13" t="s">
        <v>803</v>
      </c>
      <c r="E2" s="13" t="s">
        <v>562</v>
      </c>
      <c r="F2" s="13" t="s">
        <v>799</v>
      </c>
      <c r="G2" s="13">
        <v>1</v>
      </c>
      <c r="H2" s="14">
        <v>4</v>
      </c>
      <c r="I2" s="14">
        <v>4</v>
      </c>
      <c r="J2" s="14">
        <v>8</v>
      </c>
    </row>
    <row r="3" spans="1:10" x14ac:dyDescent="0.3">
      <c r="A3" s="13" t="s">
        <v>796</v>
      </c>
      <c r="B3" s="21">
        <v>46174</v>
      </c>
      <c r="C3" s="20">
        <v>872533481733</v>
      </c>
      <c r="D3" s="13" t="s">
        <v>797</v>
      </c>
      <c r="E3" s="13" t="s">
        <v>562</v>
      </c>
      <c r="F3" s="13" t="s">
        <v>795</v>
      </c>
      <c r="G3" s="13">
        <v>1</v>
      </c>
      <c r="H3" s="14">
        <v>0</v>
      </c>
      <c r="I3" s="14">
        <v>0</v>
      </c>
      <c r="J3" s="14">
        <v>8</v>
      </c>
    </row>
    <row r="4" spans="1:10" x14ac:dyDescent="0.3">
      <c r="A4" s="13" t="s">
        <v>796</v>
      </c>
      <c r="B4" s="21">
        <v>46174</v>
      </c>
      <c r="C4" s="20">
        <v>872533481733</v>
      </c>
      <c r="D4" s="13" t="s">
        <v>653</v>
      </c>
      <c r="E4" s="13" t="s">
        <v>616</v>
      </c>
      <c r="F4" s="13" t="s">
        <v>795</v>
      </c>
      <c r="G4" s="13">
        <v>1</v>
      </c>
      <c r="H4" s="14">
        <v>0</v>
      </c>
      <c r="I4" s="14">
        <v>0</v>
      </c>
      <c r="J4" s="14">
        <v>8</v>
      </c>
    </row>
    <row r="5" spans="1:10" x14ac:dyDescent="0.3">
      <c r="A5" s="13" t="s">
        <v>794</v>
      </c>
      <c r="B5" s="21">
        <v>46174</v>
      </c>
      <c r="C5" s="20">
        <v>872533139180</v>
      </c>
      <c r="D5" s="13" t="s">
        <v>561</v>
      </c>
      <c r="E5" s="13" t="s">
        <v>616</v>
      </c>
      <c r="F5" s="13" t="s">
        <v>793</v>
      </c>
      <c r="G5" s="13">
        <v>1</v>
      </c>
      <c r="H5" s="14">
        <v>0</v>
      </c>
      <c r="I5" s="14">
        <v>0</v>
      </c>
      <c r="J5" s="14">
        <v>8</v>
      </c>
    </row>
    <row r="6" spans="1:10" x14ac:dyDescent="0.3">
      <c r="A6" s="13" t="s">
        <v>792</v>
      </c>
      <c r="B6" s="21">
        <v>46174</v>
      </c>
      <c r="C6" s="20">
        <v>872531590668</v>
      </c>
      <c r="D6" s="13" t="s">
        <v>561</v>
      </c>
      <c r="E6" s="13" t="s">
        <v>616</v>
      </c>
      <c r="F6" s="13" t="s">
        <v>559</v>
      </c>
      <c r="G6" s="13">
        <v>1</v>
      </c>
      <c r="H6" s="14">
        <v>0</v>
      </c>
      <c r="I6" s="14">
        <v>0</v>
      </c>
      <c r="J6" s="14">
        <v>8</v>
      </c>
    </row>
    <row r="7" spans="1:10" x14ac:dyDescent="0.3">
      <c r="A7" s="13" t="s">
        <v>805</v>
      </c>
      <c r="B7" s="21">
        <v>46174</v>
      </c>
      <c r="C7" s="20">
        <v>872531799811</v>
      </c>
      <c r="D7" s="13" t="s">
        <v>673</v>
      </c>
      <c r="E7" s="13" t="s">
        <v>616</v>
      </c>
      <c r="F7" s="13" t="s">
        <v>804</v>
      </c>
      <c r="G7" s="13">
        <v>1</v>
      </c>
      <c r="H7" s="14">
        <v>4</v>
      </c>
      <c r="I7" s="14">
        <v>4</v>
      </c>
      <c r="J7" s="14">
        <v>8</v>
      </c>
    </row>
    <row r="8" spans="1:10" x14ac:dyDescent="0.3">
      <c r="A8" s="13" t="s">
        <v>800</v>
      </c>
      <c r="B8" s="21">
        <v>46174</v>
      </c>
      <c r="C8" s="20">
        <v>872532826995</v>
      </c>
      <c r="D8" s="13" t="s">
        <v>665</v>
      </c>
      <c r="E8" s="13" t="s">
        <v>616</v>
      </c>
      <c r="F8" s="13" t="s">
        <v>799</v>
      </c>
      <c r="G8" s="13">
        <v>1</v>
      </c>
      <c r="H8" s="14">
        <v>4</v>
      </c>
      <c r="I8" s="14">
        <v>4</v>
      </c>
      <c r="J8" s="14">
        <v>8</v>
      </c>
    </row>
    <row r="9" spans="1:10" x14ac:dyDescent="0.3">
      <c r="A9" s="13" t="s">
        <v>798</v>
      </c>
      <c r="B9" s="21">
        <v>46174</v>
      </c>
      <c r="C9" s="20">
        <v>872533349278</v>
      </c>
      <c r="D9" s="13" t="s">
        <v>665</v>
      </c>
      <c r="E9" s="13" t="s">
        <v>616</v>
      </c>
      <c r="F9" s="13" t="s">
        <v>704</v>
      </c>
      <c r="G9" s="13">
        <v>1</v>
      </c>
      <c r="H9" s="14">
        <v>4</v>
      </c>
      <c r="I9" s="14">
        <v>4</v>
      </c>
      <c r="J9" s="14">
        <v>8</v>
      </c>
    </row>
    <row r="10" spans="1:10" x14ac:dyDescent="0.3">
      <c r="A10" s="13" t="s">
        <v>805</v>
      </c>
      <c r="B10" s="21">
        <v>46174</v>
      </c>
      <c r="C10" s="20">
        <v>872531799811</v>
      </c>
      <c r="D10" s="13" t="s">
        <v>671</v>
      </c>
      <c r="E10" s="13" t="s">
        <v>542</v>
      </c>
      <c r="F10" s="13" t="s">
        <v>804</v>
      </c>
      <c r="G10" s="13">
        <v>1</v>
      </c>
      <c r="H10" s="14">
        <v>52</v>
      </c>
      <c r="I10" s="14">
        <v>52</v>
      </c>
      <c r="J10" s="14">
        <v>8</v>
      </c>
    </row>
    <row r="11" spans="1:10" x14ac:dyDescent="0.3">
      <c r="A11" s="13" t="s">
        <v>800</v>
      </c>
      <c r="B11" s="21">
        <v>46174</v>
      </c>
      <c r="C11" s="20">
        <v>872532826995</v>
      </c>
      <c r="D11" s="13" t="s">
        <v>626</v>
      </c>
      <c r="E11" s="13" t="s">
        <v>542</v>
      </c>
      <c r="F11" s="13" t="s">
        <v>799</v>
      </c>
      <c r="G11" s="13">
        <v>1</v>
      </c>
      <c r="H11" s="14">
        <v>52</v>
      </c>
      <c r="I11" s="14">
        <v>52</v>
      </c>
      <c r="J11" s="14">
        <v>8</v>
      </c>
    </row>
    <row r="12" spans="1:10" x14ac:dyDescent="0.3">
      <c r="A12" s="13" t="s">
        <v>798</v>
      </c>
      <c r="B12" s="21">
        <v>46174</v>
      </c>
      <c r="C12" s="20">
        <v>872533349278</v>
      </c>
      <c r="D12" s="13" t="s">
        <v>626</v>
      </c>
      <c r="E12" s="13" t="s">
        <v>542</v>
      </c>
      <c r="F12" s="13" t="s">
        <v>704</v>
      </c>
      <c r="G12" s="13">
        <v>1</v>
      </c>
      <c r="H12" s="14">
        <v>52</v>
      </c>
      <c r="I12" s="14">
        <v>52</v>
      </c>
      <c r="J12" s="14">
        <v>8</v>
      </c>
    </row>
    <row r="13" spans="1:10" x14ac:dyDescent="0.3">
      <c r="A13" s="13" t="s">
        <v>796</v>
      </c>
      <c r="B13" s="21">
        <v>46174</v>
      </c>
      <c r="C13" s="20">
        <v>872533481733</v>
      </c>
      <c r="D13" s="13" t="s">
        <v>651</v>
      </c>
      <c r="E13" s="13" t="s">
        <v>542</v>
      </c>
      <c r="F13" s="13" t="s">
        <v>795</v>
      </c>
      <c r="G13" s="13">
        <v>1</v>
      </c>
      <c r="H13" s="14">
        <v>52</v>
      </c>
      <c r="I13" s="14">
        <v>52</v>
      </c>
      <c r="J13" s="14">
        <v>8</v>
      </c>
    </row>
    <row r="14" spans="1:10" x14ac:dyDescent="0.3">
      <c r="A14" s="13" t="s">
        <v>794</v>
      </c>
      <c r="B14" s="21">
        <v>46174</v>
      </c>
      <c r="C14" s="20">
        <v>872533139180</v>
      </c>
      <c r="D14" s="13" t="s">
        <v>557</v>
      </c>
      <c r="E14" s="13" t="s">
        <v>542</v>
      </c>
      <c r="F14" s="13" t="s">
        <v>793</v>
      </c>
      <c r="G14" s="13">
        <v>1</v>
      </c>
      <c r="H14" s="14">
        <v>52</v>
      </c>
      <c r="I14" s="14">
        <v>52</v>
      </c>
      <c r="J14" s="14">
        <v>8</v>
      </c>
    </row>
    <row r="15" spans="1:10" x14ac:dyDescent="0.3">
      <c r="A15" s="13" t="s">
        <v>792</v>
      </c>
      <c r="B15" s="21">
        <v>46174</v>
      </c>
      <c r="C15" s="20">
        <v>872531590668</v>
      </c>
      <c r="D15" s="13" t="s">
        <v>557</v>
      </c>
      <c r="E15" s="13" t="s">
        <v>542</v>
      </c>
      <c r="F15" s="13" t="s">
        <v>559</v>
      </c>
      <c r="G15" s="13">
        <v>1</v>
      </c>
      <c r="H15" s="14">
        <v>52</v>
      </c>
      <c r="I15" s="14">
        <v>52</v>
      </c>
      <c r="J15" s="14">
        <v>8</v>
      </c>
    </row>
    <row r="16" spans="1:10" x14ac:dyDescent="0.3">
      <c r="A16" s="13" t="s">
        <v>802</v>
      </c>
      <c r="B16" s="21">
        <v>46174</v>
      </c>
      <c r="C16" s="20">
        <v>872532958993</v>
      </c>
      <c r="D16" s="13" t="s">
        <v>525</v>
      </c>
      <c r="E16" s="13" t="s">
        <v>524</v>
      </c>
      <c r="F16" s="13" t="s">
        <v>801</v>
      </c>
      <c r="G16" s="13">
        <v>1</v>
      </c>
      <c r="H16" s="14">
        <v>7</v>
      </c>
      <c r="I16" s="14">
        <v>7</v>
      </c>
      <c r="J16" s="14">
        <v>8</v>
      </c>
    </row>
    <row r="17" spans="1:10" x14ac:dyDescent="0.3">
      <c r="A17" s="13" t="s">
        <v>800</v>
      </c>
      <c r="B17" s="21">
        <v>46174</v>
      </c>
      <c r="C17" s="20">
        <v>872532826995</v>
      </c>
      <c r="D17" s="13" t="s">
        <v>630</v>
      </c>
      <c r="E17" s="13" t="s">
        <v>524</v>
      </c>
      <c r="F17" s="13" t="s">
        <v>799</v>
      </c>
      <c r="G17" s="13">
        <v>1</v>
      </c>
      <c r="H17" s="14">
        <v>7</v>
      </c>
      <c r="I17" s="14">
        <v>7</v>
      </c>
      <c r="J17" s="14">
        <v>8</v>
      </c>
    </row>
    <row r="18" spans="1:10" x14ac:dyDescent="0.3">
      <c r="A18" s="13" t="s">
        <v>798</v>
      </c>
      <c r="B18" s="21">
        <v>46174</v>
      </c>
      <c r="C18" s="20">
        <v>872533349278</v>
      </c>
      <c r="D18" s="13" t="s">
        <v>630</v>
      </c>
      <c r="E18" s="13" t="s">
        <v>524</v>
      </c>
      <c r="F18" s="13" t="s">
        <v>704</v>
      </c>
      <c r="G18" s="13">
        <v>1</v>
      </c>
      <c r="H18" s="14">
        <v>7</v>
      </c>
      <c r="I18" s="14">
        <v>7</v>
      </c>
      <c r="J18" s="14">
        <v>8</v>
      </c>
    </row>
    <row r="19" spans="1:10" x14ac:dyDescent="0.3">
      <c r="A19" s="13" t="s">
        <v>796</v>
      </c>
      <c r="B19" s="21">
        <v>46174</v>
      </c>
      <c r="C19" s="20">
        <v>872533481733</v>
      </c>
      <c r="D19" s="13" t="s">
        <v>654</v>
      </c>
      <c r="E19" s="13" t="s">
        <v>524</v>
      </c>
      <c r="F19" s="13" t="s">
        <v>795</v>
      </c>
      <c r="G19" s="13">
        <v>1</v>
      </c>
      <c r="H19" s="14">
        <v>7</v>
      </c>
      <c r="I19" s="14">
        <v>7</v>
      </c>
      <c r="J19" s="14">
        <v>8</v>
      </c>
    </row>
    <row r="20" spans="1:10" x14ac:dyDescent="0.3">
      <c r="A20" s="13" t="s">
        <v>792</v>
      </c>
      <c r="B20" s="21">
        <v>46174</v>
      </c>
      <c r="C20" s="20">
        <v>872531590668</v>
      </c>
      <c r="D20" s="13" t="s">
        <v>564</v>
      </c>
      <c r="E20" s="13" t="s">
        <v>524</v>
      </c>
      <c r="F20" s="13" t="s">
        <v>559</v>
      </c>
      <c r="G20" s="13">
        <v>1</v>
      </c>
      <c r="H20" s="14">
        <v>7</v>
      </c>
      <c r="I20" s="14">
        <v>7</v>
      </c>
      <c r="J20" s="14">
        <v>8</v>
      </c>
    </row>
    <row r="21" spans="1:10" x14ac:dyDescent="0.3">
      <c r="A21" s="13" t="s">
        <v>791</v>
      </c>
      <c r="B21" s="21">
        <v>46174</v>
      </c>
      <c r="C21" s="20">
        <v>872532660642</v>
      </c>
      <c r="D21" s="13" t="s">
        <v>790</v>
      </c>
      <c r="E21" s="13" t="s">
        <v>509</v>
      </c>
      <c r="F21" s="13" t="s">
        <v>789</v>
      </c>
      <c r="G21" s="13">
        <v>3</v>
      </c>
      <c r="H21" s="14">
        <v>4</v>
      </c>
      <c r="I21" s="14">
        <v>12</v>
      </c>
      <c r="J21" s="14">
        <v>8</v>
      </c>
    </row>
    <row r="22" spans="1:10" x14ac:dyDescent="0.3">
      <c r="A22" s="13" t="s">
        <v>607</v>
      </c>
      <c r="B22" s="21">
        <v>46174</v>
      </c>
      <c r="C22" s="20">
        <v>872531935389</v>
      </c>
      <c r="D22" s="13" t="s">
        <v>510</v>
      </c>
      <c r="E22" s="13" t="s">
        <v>509</v>
      </c>
      <c r="F22" s="13" t="s">
        <v>606</v>
      </c>
      <c r="G22" s="13">
        <v>1</v>
      </c>
      <c r="H22" s="14">
        <v>4</v>
      </c>
      <c r="I22" s="14">
        <v>4</v>
      </c>
      <c r="J22" s="14">
        <v>8</v>
      </c>
    </row>
    <row r="23" spans="1:10" x14ac:dyDescent="0.3">
      <c r="A23" s="13" t="s">
        <v>786</v>
      </c>
      <c r="B23" s="21">
        <v>46174</v>
      </c>
      <c r="C23" s="20">
        <v>872532181875</v>
      </c>
      <c r="D23" s="13" t="s">
        <v>785</v>
      </c>
      <c r="E23" s="13" t="s">
        <v>509</v>
      </c>
      <c r="F23" s="13" t="s">
        <v>784</v>
      </c>
      <c r="G23" s="13">
        <v>1</v>
      </c>
      <c r="H23" s="14">
        <v>4</v>
      </c>
      <c r="I23" s="14">
        <v>4</v>
      </c>
      <c r="J23" s="14">
        <v>8</v>
      </c>
    </row>
    <row r="24" spans="1:10" x14ac:dyDescent="0.3">
      <c r="A24" s="13" t="s">
        <v>788</v>
      </c>
      <c r="B24" s="21">
        <v>46174</v>
      </c>
      <c r="C24" s="20">
        <v>872532047903</v>
      </c>
      <c r="D24" s="13" t="s">
        <v>533</v>
      </c>
      <c r="E24" s="13"/>
      <c r="F24" s="13" t="s">
        <v>787</v>
      </c>
      <c r="G24" s="13">
        <v>1</v>
      </c>
      <c r="H24" s="14">
        <v>0</v>
      </c>
      <c r="I24" s="14">
        <v>0</v>
      </c>
      <c r="J24" s="14">
        <v>8</v>
      </c>
    </row>
    <row r="25" spans="1:10" x14ac:dyDescent="0.3">
      <c r="A25" s="13" t="s">
        <v>777</v>
      </c>
      <c r="B25" s="21">
        <v>46175</v>
      </c>
      <c r="C25" s="20">
        <v>872588003150</v>
      </c>
      <c r="D25" s="13" t="s">
        <v>653</v>
      </c>
      <c r="E25" s="13" t="s">
        <v>616</v>
      </c>
      <c r="F25" s="13" t="s">
        <v>776</v>
      </c>
      <c r="G25" s="13">
        <v>1</v>
      </c>
      <c r="H25" s="14">
        <v>0</v>
      </c>
      <c r="I25" s="14">
        <v>0</v>
      </c>
      <c r="J25" s="14">
        <v>8</v>
      </c>
    </row>
    <row r="26" spans="1:10" x14ac:dyDescent="0.3">
      <c r="A26" s="13" t="s">
        <v>782</v>
      </c>
      <c r="B26" s="21">
        <v>46175</v>
      </c>
      <c r="C26" s="20">
        <v>872587895800</v>
      </c>
      <c r="D26" s="13" t="s">
        <v>783</v>
      </c>
      <c r="E26" s="13" t="s">
        <v>545</v>
      </c>
      <c r="F26" s="13" t="s">
        <v>781</v>
      </c>
      <c r="G26" s="13">
        <v>1</v>
      </c>
      <c r="H26" s="14">
        <v>7</v>
      </c>
      <c r="I26" s="14">
        <v>7</v>
      </c>
      <c r="J26" s="14">
        <v>8</v>
      </c>
    </row>
    <row r="27" spans="1:10" x14ac:dyDescent="0.3">
      <c r="A27" s="13" t="s">
        <v>782</v>
      </c>
      <c r="B27" s="21">
        <v>46175</v>
      </c>
      <c r="C27" s="20">
        <v>872587895800</v>
      </c>
      <c r="D27" s="13" t="s">
        <v>695</v>
      </c>
      <c r="E27" s="13" t="s">
        <v>542</v>
      </c>
      <c r="F27" s="13" t="s">
        <v>781</v>
      </c>
      <c r="G27" s="13">
        <v>1</v>
      </c>
      <c r="H27" s="14">
        <v>52</v>
      </c>
      <c r="I27" s="14">
        <v>52</v>
      </c>
      <c r="J27" s="14">
        <v>8</v>
      </c>
    </row>
    <row r="28" spans="1:10" x14ac:dyDescent="0.3">
      <c r="A28" s="13" t="s">
        <v>777</v>
      </c>
      <c r="B28" s="21">
        <v>46175</v>
      </c>
      <c r="C28" s="20">
        <v>872588003150</v>
      </c>
      <c r="D28" s="13" t="s">
        <v>651</v>
      </c>
      <c r="E28" s="13" t="s">
        <v>542</v>
      </c>
      <c r="F28" s="13" t="s">
        <v>776</v>
      </c>
      <c r="G28" s="13">
        <v>1</v>
      </c>
      <c r="H28" s="14">
        <v>52</v>
      </c>
      <c r="I28" s="14">
        <v>52</v>
      </c>
      <c r="J28" s="14">
        <v>8</v>
      </c>
    </row>
    <row r="29" spans="1:10" x14ac:dyDescent="0.3">
      <c r="A29" s="13" t="s">
        <v>780</v>
      </c>
      <c r="B29" s="21">
        <v>46175</v>
      </c>
      <c r="C29" s="20">
        <v>872588227038</v>
      </c>
      <c r="D29" s="13" t="s">
        <v>591</v>
      </c>
      <c r="E29" s="13" t="s">
        <v>520</v>
      </c>
      <c r="F29" s="13"/>
      <c r="G29" s="13">
        <v>1</v>
      </c>
      <c r="H29" s="14">
        <v>37</v>
      </c>
      <c r="I29" s="14">
        <v>37</v>
      </c>
      <c r="J29" s="14">
        <v>8</v>
      </c>
    </row>
    <row r="30" spans="1:10" x14ac:dyDescent="0.3">
      <c r="A30" s="13" t="s">
        <v>779</v>
      </c>
      <c r="B30" s="21">
        <v>46175</v>
      </c>
      <c r="C30" s="20">
        <v>872588113360</v>
      </c>
      <c r="D30" s="13" t="s">
        <v>525</v>
      </c>
      <c r="E30" s="13" t="s">
        <v>524</v>
      </c>
      <c r="F30" s="13" t="s">
        <v>778</v>
      </c>
      <c r="G30" s="13">
        <v>1</v>
      </c>
      <c r="H30" s="14">
        <v>7</v>
      </c>
      <c r="I30" s="14">
        <v>7</v>
      </c>
      <c r="J30" s="14">
        <v>8</v>
      </c>
    </row>
    <row r="31" spans="1:10" x14ac:dyDescent="0.3">
      <c r="A31" s="13" t="s">
        <v>777</v>
      </c>
      <c r="B31" s="21">
        <v>46175</v>
      </c>
      <c r="C31" s="20">
        <v>872588003150</v>
      </c>
      <c r="D31" s="13" t="s">
        <v>654</v>
      </c>
      <c r="E31" s="13" t="s">
        <v>524</v>
      </c>
      <c r="F31" s="13" t="s">
        <v>776</v>
      </c>
      <c r="G31" s="13">
        <v>1</v>
      </c>
      <c r="H31" s="14">
        <v>7</v>
      </c>
      <c r="I31" s="14">
        <v>7</v>
      </c>
      <c r="J31" s="14">
        <v>8</v>
      </c>
    </row>
    <row r="32" spans="1:10" x14ac:dyDescent="0.3">
      <c r="A32" s="13" t="s">
        <v>771</v>
      </c>
      <c r="B32" s="21">
        <v>46176</v>
      </c>
      <c r="C32" s="20">
        <v>872641531754</v>
      </c>
      <c r="D32" s="13" t="s">
        <v>563</v>
      </c>
      <c r="E32" s="13" t="s">
        <v>562</v>
      </c>
      <c r="F32" s="13" t="s">
        <v>737</v>
      </c>
      <c r="G32" s="13">
        <v>1</v>
      </c>
      <c r="H32" s="14">
        <v>0</v>
      </c>
      <c r="I32" s="14">
        <v>0</v>
      </c>
      <c r="J32" s="14">
        <v>8</v>
      </c>
    </row>
    <row r="33" spans="1:10" x14ac:dyDescent="0.3">
      <c r="A33" s="13" t="s">
        <v>771</v>
      </c>
      <c r="B33" s="21">
        <v>46176</v>
      </c>
      <c r="C33" s="20">
        <v>872641531754</v>
      </c>
      <c r="D33" s="13" t="s">
        <v>653</v>
      </c>
      <c r="E33" s="13" t="s">
        <v>616</v>
      </c>
      <c r="F33" s="13" t="s">
        <v>737</v>
      </c>
      <c r="G33" s="13">
        <v>1</v>
      </c>
      <c r="H33" s="14">
        <v>0</v>
      </c>
      <c r="I33" s="14">
        <v>0</v>
      </c>
      <c r="J33" s="14">
        <v>8</v>
      </c>
    </row>
    <row r="34" spans="1:10" x14ac:dyDescent="0.3">
      <c r="A34" s="13" t="s">
        <v>741</v>
      </c>
      <c r="B34" s="21">
        <v>46176</v>
      </c>
      <c r="C34" s="20">
        <v>872641767154</v>
      </c>
      <c r="D34" s="13" t="s">
        <v>653</v>
      </c>
      <c r="E34" s="13" t="s">
        <v>616</v>
      </c>
      <c r="F34" s="13" t="s">
        <v>740</v>
      </c>
      <c r="G34" s="13">
        <v>1</v>
      </c>
      <c r="H34" s="14">
        <v>0</v>
      </c>
      <c r="I34" s="14">
        <v>0</v>
      </c>
      <c r="J34" s="14">
        <v>8</v>
      </c>
    </row>
    <row r="35" spans="1:10" x14ac:dyDescent="0.3">
      <c r="A35" s="13" t="s">
        <v>775</v>
      </c>
      <c r="B35" s="21">
        <v>46176</v>
      </c>
      <c r="C35" s="20">
        <v>872642323070</v>
      </c>
      <c r="D35" s="13" t="s">
        <v>724</v>
      </c>
      <c r="E35" s="13" t="s">
        <v>616</v>
      </c>
      <c r="F35" s="13" t="s">
        <v>774</v>
      </c>
      <c r="G35" s="13">
        <v>1</v>
      </c>
      <c r="H35" s="14">
        <v>4</v>
      </c>
      <c r="I35" s="14">
        <v>4</v>
      </c>
      <c r="J35" s="14">
        <v>8</v>
      </c>
    </row>
    <row r="36" spans="1:10" x14ac:dyDescent="0.3">
      <c r="A36" s="13" t="s">
        <v>775</v>
      </c>
      <c r="B36" s="21">
        <v>46176</v>
      </c>
      <c r="C36" s="20">
        <v>872642323070</v>
      </c>
      <c r="D36" s="13" t="s">
        <v>695</v>
      </c>
      <c r="E36" s="13" t="s">
        <v>542</v>
      </c>
      <c r="F36" s="13" t="s">
        <v>774</v>
      </c>
      <c r="G36" s="13">
        <v>1</v>
      </c>
      <c r="H36" s="14">
        <v>52</v>
      </c>
      <c r="I36" s="14">
        <v>52</v>
      </c>
      <c r="J36" s="14">
        <v>8</v>
      </c>
    </row>
    <row r="37" spans="1:10" x14ac:dyDescent="0.3">
      <c r="A37" s="13" t="s">
        <v>771</v>
      </c>
      <c r="B37" s="21">
        <v>46176</v>
      </c>
      <c r="C37" s="20">
        <v>872641531754</v>
      </c>
      <c r="D37" s="13" t="s">
        <v>543</v>
      </c>
      <c r="E37" s="13" t="s">
        <v>542</v>
      </c>
      <c r="F37" s="13" t="s">
        <v>737</v>
      </c>
      <c r="G37" s="13">
        <v>1</v>
      </c>
      <c r="H37" s="14">
        <v>52</v>
      </c>
      <c r="I37" s="14">
        <v>52</v>
      </c>
      <c r="J37" s="14">
        <v>8</v>
      </c>
    </row>
    <row r="38" spans="1:10" x14ac:dyDescent="0.3">
      <c r="A38" s="13" t="s">
        <v>741</v>
      </c>
      <c r="B38" s="21">
        <v>46176</v>
      </c>
      <c r="C38" s="20">
        <v>872641767154</v>
      </c>
      <c r="D38" s="13" t="s">
        <v>543</v>
      </c>
      <c r="E38" s="13" t="s">
        <v>542</v>
      </c>
      <c r="F38" s="13" t="s">
        <v>740</v>
      </c>
      <c r="G38" s="13">
        <v>1</v>
      </c>
      <c r="H38" s="14">
        <v>52</v>
      </c>
      <c r="I38" s="14">
        <v>52</v>
      </c>
      <c r="J38" s="14">
        <v>8</v>
      </c>
    </row>
    <row r="39" spans="1:10" x14ac:dyDescent="0.3">
      <c r="A39" s="13" t="s">
        <v>770</v>
      </c>
      <c r="B39" s="21">
        <v>46176</v>
      </c>
      <c r="C39" s="20">
        <v>872642137909</v>
      </c>
      <c r="D39" s="13" t="s">
        <v>557</v>
      </c>
      <c r="E39" s="13" t="s">
        <v>542</v>
      </c>
      <c r="F39" s="13" t="s">
        <v>769</v>
      </c>
      <c r="G39" s="13">
        <v>1</v>
      </c>
      <c r="H39" s="14">
        <v>52</v>
      </c>
      <c r="I39" s="14">
        <v>52</v>
      </c>
      <c r="J39" s="14">
        <v>8</v>
      </c>
    </row>
    <row r="40" spans="1:10" x14ac:dyDescent="0.3">
      <c r="A40" s="13" t="s">
        <v>773</v>
      </c>
      <c r="B40" s="21">
        <v>46176</v>
      </c>
      <c r="C40" s="20">
        <v>872643300432</v>
      </c>
      <c r="D40" s="13" t="s">
        <v>669</v>
      </c>
      <c r="E40" s="13" t="s">
        <v>524</v>
      </c>
      <c r="F40" s="13" t="s">
        <v>772</v>
      </c>
      <c r="G40" s="13">
        <v>1</v>
      </c>
      <c r="H40" s="14">
        <v>7</v>
      </c>
      <c r="I40" s="14">
        <v>7</v>
      </c>
      <c r="J40" s="14">
        <v>8</v>
      </c>
    </row>
    <row r="41" spans="1:10" x14ac:dyDescent="0.3">
      <c r="A41" s="13" t="s">
        <v>741</v>
      </c>
      <c r="B41" s="21">
        <v>46176</v>
      </c>
      <c r="C41" s="20">
        <v>872641767154</v>
      </c>
      <c r="D41" s="13" t="s">
        <v>625</v>
      </c>
      <c r="E41" s="13" t="s">
        <v>524</v>
      </c>
      <c r="F41" s="13" t="s">
        <v>740</v>
      </c>
      <c r="G41" s="13">
        <v>1</v>
      </c>
      <c r="H41" s="14">
        <v>7</v>
      </c>
      <c r="I41" s="14">
        <v>7</v>
      </c>
      <c r="J41" s="14">
        <v>8</v>
      </c>
    </row>
    <row r="42" spans="1:10" x14ac:dyDescent="0.3">
      <c r="A42" s="13" t="s">
        <v>770</v>
      </c>
      <c r="B42" s="21">
        <v>46176</v>
      </c>
      <c r="C42" s="20">
        <v>872642137909</v>
      </c>
      <c r="D42" s="13" t="s">
        <v>564</v>
      </c>
      <c r="E42" s="13" t="s">
        <v>524</v>
      </c>
      <c r="F42" s="13" t="s">
        <v>769</v>
      </c>
      <c r="G42" s="13">
        <v>1</v>
      </c>
      <c r="H42" s="14">
        <v>7</v>
      </c>
      <c r="I42" s="14">
        <v>7</v>
      </c>
      <c r="J42" s="14">
        <v>8</v>
      </c>
    </row>
    <row r="43" spans="1:10" x14ac:dyDescent="0.3">
      <c r="A43" s="13" t="s">
        <v>771</v>
      </c>
      <c r="B43" s="21">
        <v>46176</v>
      </c>
      <c r="C43" s="20">
        <v>872641531754</v>
      </c>
      <c r="D43" s="13" t="s">
        <v>739</v>
      </c>
      <c r="E43" s="13" t="s">
        <v>524</v>
      </c>
      <c r="F43" s="13" t="s">
        <v>737</v>
      </c>
      <c r="G43" s="13">
        <v>1</v>
      </c>
      <c r="H43" s="14">
        <v>7</v>
      </c>
      <c r="I43" s="14">
        <v>7</v>
      </c>
      <c r="J43" s="14">
        <v>8</v>
      </c>
    </row>
    <row r="44" spans="1:10" x14ac:dyDescent="0.3">
      <c r="A44" s="13" t="s">
        <v>605</v>
      </c>
      <c r="B44" s="21">
        <v>46176</v>
      </c>
      <c r="C44" s="20">
        <v>872641934880</v>
      </c>
      <c r="D44" s="13" t="s">
        <v>510</v>
      </c>
      <c r="E44" s="13" t="s">
        <v>509</v>
      </c>
      <c r="F44" s="13" t="s">
        <v>604</v>
      </c>
      <c r="G44" s="13">
        <v>1</v>
      </c>
      <c r="H44" s="14">
        <v>4</v>
      </c>
      <c r="I44" s="14">
        <v>4</v>
      </c>
      <c r="J44" s="14">
        <v>8</v>
      </c>
    </row>
    <row r="45" spans="1:10" x14ac:dyDescent="0.3">
      <c r="A45" s="13" t="s">
        <v>603</v>
      </c>
      <c r="B45" s="21">
        <v>46176</v>
      </c>
      <c r="C45" s="20">
        <v>872642034973</v>
      </c>
      <c r="D45" s="13" t="s">
        <v>510</v>
      </c>
      <c r="E45" s="13" t="s">
        <v>509</v>
      </c>
      <c r="F45" s="13" t="s">
        <v>602</v>
      </c>
      <c r="G45" s="13">
        <v>1</v>
      </c>
      <c r="H45" s="14">
        <v>4</v>
      </c>
      <c r="I45" s="14">
        <v>4</v>
      </c>
      <c r="J45" s="14">
        <v>8</v>
      </c>
    </row>
    <row r="46" spans="1:10" x14ac:dyDescent="0.3">
      <c r="A46" s="13" t="s">
        <v>603</v>
      </c>
      <c r="B46" s="21">
        <v>46176</v>
      </c>
      <c r="C46" s="20">
        <v>872642034973</v>
      </c>
      <c r="D46" s="13" t="s">
        <v>510</v>
      </c>
      <c r="E46" s="13" t="s">
        <v>509</v>
      </c>
      <c r="F46" s="13" t="s">
        <v>602</v>
      </c>
      <c r="G46" s="13">
        <v>1</v>
      </c>
      <c r="H46" s="14">
        <v>4</v>
      </c>
      <c r="I46" s="14">
        <v>4</v>
      </c>
      <c r="J46" s="14">
        <v>8</v>
      </c>
    </row>
    <row r="47" spans="1:10" x14ac:dyDescent="0.3">
      <c r="A47" s="13" t="s">
        <v>768</v>
      </c>
      <c r="B47" s="21">
        <v>46176</v>
      </c>
      <c r="C47" s="20">
        <v>872641653935</v>
      </c>
      <c r="D47" s="13" t="s">
        <v>579</v>
      </c>
      <c r="E47" s="13" t="s">
        <v>509</v>
      </c>
      <c r="F47" s="13" t="s">
        <v>767</v>
      </c>
      <c r="G47" s="13">
        <v>1</v>
      </c>
      <c r="H47" s="14">
        <v>4</v>
      </c>
      <c r="I47" s="14">
        <v>4</v>
      </c>
      <c r="J47" s="14">
        <v>8</v>
      </c>
    </row>
    <row r="48" spans="1:10" x14ac:dyDescent="0.3">
      <c r="A48" s="13" t="s">
        <v>766</v>
      </c>
      <c r="B48" s="21">
        <v>46176</v>
      </c>
      <c r="C48" s="20">
        <v>872642955120</v>
      </c>
      <c r="D48" s="13" t="s">
        <v>574</v>
      </c>
      <c r="E48" s="13" t="s">
        <v>509</v>
      </c>
      <c r="F48" s="13" t="s">
        <v>765</v>
      </c>
      <c r="G48" s="13">
        <v>1</v>
      </c>
      <c r="H48" s="14">
        <v>4</v>
      </c>
      <c r="I48" s="14">
        <v>4</v>
      </c>
      <c r="J48" s="14">
        <v>8</v>
      </c>
    </row>
    <row r="49" spans="1:10" x14ac:dyDescent="0.3">
      <c r="A49" s="13" t="s">
        <v>764</v>
      </c>
      <c r="B49" s="21">
        <v>46176</v>
      </c>
      <c r="C49" s="20">
        <v>872642750615</v>
      </c>
      <c r="D49" s="13" t="s">
        <v>574</v>
      </c>
      <c r="E49" s="13" t="s">
        <v>509</v>
      </c>
      <c r="F49" s="13" t="s">
        <v>763</v>
      </c>
      <c r="G49" s="13">
        <v>1</v>
      </c>
      <c r="H49" s="14">
        <v>4</v>
      </c>
      <c r="I49" s="14">
        <v>4</v>
      </c>
      <c r="J49" s="14">
        <v>8</v>
      </c>
    </row>
    <row r="50" spans="1:10" x14ac:dyDescent="0.3">
      <c r="A50" s="13" t="s">
        <v>762</v>
      </c>
      <c r="B50" s="21">
        <v>46176</v>
      </c>
      <c r="C50" s="20">
        <v>872642678865</v>
      </c>
      <c r="D50" s="13" t="s">
        <v>574</v>
      </c>
      <c r="E50" s="13" t="s">
        <v>509</v>
      </c>
      <c r="F50" s="13" t="s">
        <v>761</v>
      </c>
      <c r="G50" s="13">
        <v>1</v>
      </c>
      <c r="H50" s="14">
        <v>4</v>
      </c>
      <c r="I50" s="14">
        <v>4</v>
      </c>
      <c r="J50" s="14">
        <v>8</v>
      </c>
    </row>
    <row r="51" spans="1:10" x14ac:dyDescent="0.3">
      <c r="A51" s="13" t="s">
        <v>760</v>
      </c>
      <c r="B51" s="21">
        <v>46176</v>
      </c>
      <c r="C51" s="20">
        <v>872642634237</v>
      </c>
      <c r="D51" s="13" t="s">
        <v>574</v>
      </c>
      <c r="E51" s="13" t="s">
        <v>509</v>
      </c>
      <c r="F51" s="13" t="s">
        <v>759</v>
      </c>
      <c r="G51" s="13">
        <v>1</v>
      </c>
      <c r="H51" s="14">
        <v>4</v>
      </c>
      <c r="I51" s="14">
        <v>4</v>
      </c>
      <c r="J51" s="14">
        <v>8</v>
      </c>
    </row>
    <row r="52" spans="1:10" x14ac:dyDescent="0.3">
      <c r="A52" s="13" t="s">
        <v>758</v>
      </c>
      <c r="B52" s="21">
        <v>46176</v>
      </c>
      <c r="C52" s="20">
        <v>872642900877</v>
      </c>
      <c r="D52" s="13" t="s">
        <v>574</v>
      </c>
      <c r="E52" s="13" t="s">
        <v>509</v>
      </c>
      <c r="F52" s="13" t="s">
        <v>757</v>
      </c>
      <c r="G52" s="13">
        <v>1</v>
      </c>
      <c r="H52" s="14">
        <v>4</v>
      </c>
      <c r="I52" s="14">
        <v>4</v>
      </c>
      <c r="J52" s="14">
        <v>8</v>
      </c>
    </row>
    <row r="53" spans="1:10" x14ac:dyDescent="0.3">
      <c r="A53" s="13" t="s">
        <v>756</v>
      </c>
      <c r="B53" s="21">
        <v>46176</v>
      </c>
      <c r="C53" s="20">
        <v>872642858387</v>
      </c>
      <c r="D53" s="13" t="s">
        <v>574</v>
      </c>
      <c r="E53" s="13" t="s">
        <v>509</v>
      </c>
      <c r="F53" s="13" t="s">
        <v>755</v>
      </c>
      <c r="G53" s="13">
        <v>1</v>
      </c>
      <c r="H53" s="14">
        <v>4</v>
      </c>
      <c r="I53" s="14">
        <v>4</v>
      </c>
      <c r="J53" s="14">
        <v>8</v>
      </c>
    </row>
    <row r="54" spans="1:10" x14ac:dyDescent="0.3">
      <c r="A54" s="13" t="s">
        <v>754</v>
      </c>
      <c r="B54" s="21">
        <v>46176</v>
      </c>
      <c r="C54" s="20">
        <v>872642803873</v>
      </c>
      <c r="D54" s="13" t="s">
        <v>574</v>
      </c>
      <c r="E54" s="13" t="s">
        <v>509</v>
      </c>
      <c r="F54" s="13" t="s">
        <v>753</v>
      </c>
      <c r="G54" s="13">
        <v>1</v>
      </c>
      <c r="H54" s="14">
        <v>4</v>
      </c>
      <c r="I54" s="14">
        <v>4</v>
      </c>
      <c r="J54" s="14">
        <v>8</v>
      </c>
    </row>
    <row r="55" spans="1:10" x14ac:dyDescent="0.3">
      <c r="A55" s="13" t="s">
        <v>752</v>
      </c>
      <c r="B55" s="21">
        <v>46176</v>
      </c>
      <c r="C55" s="20">
        <v>872642476249</v>
      </c>
      <c r="D55" s="13" t="s">
        <v>574</v>
      </c>
      <c r="E55" s="13" t="s">
        <v>509</v>
      </c>
      <c r="F55" s="13" t="s">
        <v>751</v>
      </c>
      <c r="G55" s="13">
        <v>1</v>
      </c>
      <c r="H55" s="14">
        <v>4</v>
      </c>
      <c r="I55" s="14">
        <v>4</v>
      </c>
      <c r="J55" s="14">
        <v>8</v>
      </c>
    </row>
    <row r="56" spans="1:10" x14ac:dyDescent="0.3">
      <c r="A56" s="13" t="s">
        <v>750</v>
      </c>
      <c r="B56" s="21">
        <v>46176</v>
      </c>
      <c r="C56" s="20">
        <v>872643155834</v>
      </c>
      <c r="D56" s="13" t="s">
        <v>574</v>
      </c>
      <c r="E56" s="13" t="s">
        <v>509</v>
      </c>
      <c r="F56" s="13" t="s">
        <v>749</v>
      </c>
      <c r="G56" s="13">
        <v>1</v>
      </c>
      <c r="H56" s="14">
        <v>4</v>
      </c>
      <c r="I56" s="14">
        <v>4</v>
      </c>
      <c r="J56" s="14">
        <v>8</v>
      </c>
    </row>
    <row r="57" spans="1:10" x14ac:dyDescent="0.3">
      <c r="A57" s="13" t="s">
        <v>738</v>
      </c>
      <c r="B57" s="21">
        <v>46178</v>
      </c>
      <c r="C57" s="20">
        <v>872775960969</v>
      </c>
      <c r="D57" s="13" t="s">
        <v>563</v>
      </c>
      <c r="E57" s="13" t="s">
        <v>562</v>
      </c>
      <c r="F57" s="13" t="s">
        <v>737</v>
      </c>
      <c r="G57" s="13">
        <v>1</v>
      </c>
      <c r="H57" s="14">
        <v>0</v>
      </c>
      <c r="I57" s="14">
        <v>0</v>
      </c>
      <c r="J57" s="14">
        <v>8</v>
      </c>
    </row>
    <row r="58" spans="1:10" x14ac:dyDescent="0.3">
      <c r="A58" s="13" t="s">
        <v>741</v>
      </c>
      <c r="B58" s="21">
        <v>46178</v>
      </c>
      <c r="C58" s="20">
        <v>872774906830</v>
      </c>
      <c r="D58" s="13" t="s">
        <v>653</v>
      </c>
      <c r="E58" s="13" t="s">
        <v>616</v>
      </c>
      <c r="F58" s="13" t="s">
        <v>740</v>
      </c>
      <c r="G58" s="13">
        <v>1</v>
      </c>
      <c r="H58" s="14">
        <v>0</v>
      </c>
      <c r="I58" s="14">
        <v>0</v>
      </c>
      <c r="J58" s="14">
        <v>8</v>
      </c>
    </row>
    <row r="59" spans="1:10" x14ac:dyDescent="0.3">
      <c r="A59" s="13" t="s">
        <v>738</v>
      </c>
      <c r="B59" s="21">
        <v>46178</v>
      </c>
      <c r="C59" s="20">
        <v>872775960969</v>
      </c>
      <c r="D59" s="13" t="s">
        <v>653</v>
      </c>
      <c r="E59" s="13" t="s">
        <v>616</v>
      </c>
      <c r="F59" s="13" t="s">
        <v>737</v>
      </c>
      <c r="G59" s="13">
        <v>1</v>
      </c>
      <c r="H59" s="14">
        <v>0</v>
      </c>
      <c r="I59" s="14">
        <v>0</v>
      </c>
      <c r="J59" s="14">
        <v>8</v>
      </c>
    </row>
    <row r="60" spans="1:10" x14ac:dyDescent="0.3">
      <c r="A60" s="13" t="s">
        <v>736</v>
      </c>
      <c r="B60" s="21">
        <v>46178</v>
      </c>
      <c r="C60" s="20">
        <v>872775229882</v>
      </c>
      <c r="D60" s="13" t="s">
        <v>561</v>
      </c>
      <c r="E60" s="13" t="s">
        <v>616</v>
      </c>
      <c r="F60" s="13" t="s">
        <v>735</v>
      </c>
      <c r="G60" s="13">
        <v>1</v>
      </c>
      <c r="H60" s="14">
        <v>0</v>
      </c>
      <c r="I60" s="14">
        <v>0</v>
      </c>
      <c r="J60" s="14">
        <v>8</v>
      </c>
    </row>
    <row r="61" spans="1:10" x14ac:dyDescent="0.3">
      <c r="A61" s="13" t="s">
        <v>748</v>
      </c>
      <c r="B61" s="21">
        <v>46178</v>
      </c>
      <c r="C61" s="20">
        <v>872775775977</v>
      </c>
      <c r="D61" s="13" t="s">
        <v>673</v>
      </c>
      <c r="E61" s="13" t="s">
        <v>616</v>
      </c>
      <c r="F61" s="13" t="s">
        <v>747</v>
      </c>
      <c r="G61" s="13">
        <v>1</v>
      </c>
      <c r="H61" s="14">
        <v>4</v>
      </c>
      <c r="I61" s="14">
        <v>4</v>
      </c>
      <c r="J61" s="14">
        <v>8</v>
      </c>
    </row>
    <row r="62" spans="1:10" x14ac:dyDescent="0.3">
      <c r="A62" s="13" t="s">
        <v>745</v>
      </c>
      <c r="B62" s="21">
        <v>46178</v>
      </c>
      <c r="C62" s="20">
        <v>872775357061</v>
      </c>
      <c r="D62" s="13" t="s">
        <v>724</v>
      </c>
      <c r="E62" s="13" t="s">
        <v>616</v>
      </c>
      <c r="F62" s="13" t="s">
        <v>744</v>
      </c>
      <c r="G62" s="13">
        <v>1</v>
      </c>
      <c r="H62" s="14">
        <v>4</v>
      </c>
      <c r="I62" s="14">
        <v>4</v>
      </c>
      <c r="J62" s="14">
        <v>8</v>
      </c>
    </row>
    <row r="63" spans="1:10" x14ac:dyDescent="0.3">
      <c r="A63" s="13" t="s">
        <v>743</v>
      </c>
      <c r="B63" s="21">
        <v>46178</v>
      </c>
      <c r="C63" s="20">
        <v>872775633268</v>
      </c>
      <c r="D63" s="13" t="s">
        <v>665</v>
      </c>
      <c r="E63" s="13" t="s">
        <v>616</v>
      </c>
      <c r="F63" s="13" t="s">
        <v>742</v>
      </c>
      <c r="G63" s="13">
        <v>1</v>
      </c>
      <c r="H63" s="14">
        <v>4</v>
      </c>
      <c r="I63" s="14">
        <v>4</v>
      </c>
      <c r="J63" s="14">
        <v>8</v>
      </c>
    </row>
    <row r="64" spans="1:10" x14ac:dyDescent="0.3">
      <c r="A64" s="13" t="s">
        <v>748</v>
      </c>
      <c r="B64" s="21">
        <v>46178</v>
      </c>
      <c r="C64" s="20">
        <v>872775775977</v>
      </c>
      <c r="D64" s="13" t="s">
        <v>671</v>
      </c>
      <c r="E64" s="13" t="s">
        <v>542</v>
      </c>
      <c r="F64" s="13" t="s">
        <v>747</v>
      </c>
      <c r="G64" s="13">
        <v>1</v>
      </c>
      <c r="H64" s="14">
        <v>52</v>
      </c>
      <c r="I64" s="14">
        <v>52</v>
      </c>
      <c r="J64" s="14">
        <v>8</v>
      </c>
    </row>
    <row r="65" spans="1:10" x14ac:dyDescent="0.3">
      <c r="A65" s="13" t="s">
        <v>745</v>
      </c>
      <c r="B65" s="21">
        <v>46178</v>
      </c>
      <c r="C65" s="20">
        <v>872775357061</v>
      </c>
      <c r="D65" s="13" t="s">
        <v>695</v>
      </c>
      <c r="E65" s="13" t="s">
        <v>542</v>
      </c>
      <c r="F65" s="13" t="s">
        <v>744</v>
      </c>
      <c r="G65" s="13">
        <v>1</v>
      </c>
      <c r="H65" s="14">
        <v>52</v>
      </c>
      <c r="I65" s="14">
        <v>52</v>
      </c>
      <c r="J65" s="14">
        <v>8</v>
      </c>
    </row>
    <row r="66" spans="1:10" x14ac:dyDescent="0.3">
      <c r="A66" s="13" t="s">
        <v>743</v>
      </c>
      <c r="B66" s="21">
        <v>46178</v>
      </c>
      <c r="C66" s="20">
        <v>872775633268</v>
      </c>
      <c r="D66" s="13" t="s">
        <v>626</v>
      </c>
      <c r="E66" s="13" t="s">
        <v>542</v>
      </c>
      <c r="F66" s="13" t="s">
        <v>742</v>
      </c>
      <c r="G66" s="13">
        <v>1</v>
      </c>
      <c r="H66" s="14">
        <v>52</v>
      </c>
      <c r="I66" s="14">
        <v>52</v>
      </c>
      <c r="J66" s="14">
        <v>8</v>
      </c>
    </row>
    <row r="67" spans="1:10" x14ac:dyDescent="0.3">
      <c r="A67" s="13" t="s">
        <v>741</v>
      </c>
      <c r="B67" s="21">
        <v>46178</v>
      </c>
      <c r="C67" s="20">
        <v>872774906830</v>
      </c>
      <c r="D67" s="13" t="s">
        <v>543</v>
      </c>
      <c r="E67" s="13" t="s">
        <v>542</v>
      </c>
      <c r="F67" s="13" t="s">
        <v>740</v>
      </c>
      <c r="G67" s="13">
        <v>1</v>
      </c>
      <c r="H67" s="14">
        <v>52</v>
      </c>
      <c r="I67" s="14">
        <v>52</v>
      </c>
      <c r="J67" s="14">
        <v>8</v>
      </c>
    </row>
    <row r="68" spans="1:10" x14ac:dyDescent="0.3">
      <c r="A68" s="13" t="s">
        <v>738</v>
      </c>
      <c r="B68" s="21">
        <v>46178</v>
      </c>
      <c r="C68" s="20">
        <v>872775960969</v>
      </c>
      <c r="D68" s="13" t="s">
        <v>543</v>
      </c>
      <c r="E68" s="13" t="s">
        <v>542</v>
      </c>
      <c r="F68" s="13" t="s">
        <v>737</v>
      </c>
      <c r="G68" s="13">
        <v>1</v>
      </c>
      <c r="H68" s="14">
        <v>52</v>
      </c>
      <c r="I68" s="14">
        <v>52</v>
      </c>
      <c r="J68" s="14">
        <v>8</v>
      </c>
    </row>
    <row r="69" spans="1:10" x14ac:dyDescent="0.3">
      <c r="A69" s="13" t="s">
        <v>736</v>
      </c>
      <c r="B69" s="21">
        <v>46178</v>
      </c>
      <c r="C69" s="20">
        <v>872775229882</v>
      </c>
      <c r="D69" s="13" t="s">
        <v>557</v>
      </c>
      <c r="E69" s="13" t="s">
        <v>542</v>
      </c>
      <c r="F69" s="13" t="s">
        <v>735</v>
      </c>
      <c r="G69" s="13">
        <v>1</v>
      </c>
      <c r="H69" s="14">
        <v>52</v>
      </c>
      <c r="I69" s="14">
        <v>52</v>
      </c>
      <c r="J69" s="14">
        <v>8</v>
      </c>
    </row>
    <row r="70" spans="1:10" x14ac:dyDescent="0.3">
      <c r="A70" s="13" t="s">
        <v>745</v>
      </c>
      <c r="B70" s="21">
        <v>46178</v>
      </c>
      <c r="C70" s="20">
        <v>872775357061</v>
      </c>
      <c r="D70" s="13" t="s">
        <v>746</v>
      </c>
      <c r="E70" s="13" t="s">
        <v>524</v>
      </c>
      <c r="F70" s="13" t="s">
        <v>744</v>
      </c>
      <c r="G70" s="13">
        <v>1</v>
      </c>
      <c r="H70" s="14">
        <v>7</v>
      </c>
      <c r="I70" s="14">
        <v>7</v>
      </c>
      <c r="J70" s="14">
        <v>8</v>
      </c>
    </row>
    <row r="71" spans="1:10" x14ac:dyDescent="0.3">
      <c r="A71" s="13" t="s">
        <v>741</v>
      </c>
      <c r="B71" s="21">
        <v>46178</v>
      </c>
      <c r="C71" s="20">
        <v>872774906830</v>
      </c>
      <c r="D71" s="13" t="s">
        <v>625</v>
      </c>
      <c r="E71" s="13" t="s">
        <v>524</v>
      </c>
      <c r="F71" s="13" t="s">
        <v>740</v>
      </c>
      <c r="G71" s="13">
        <v>1</v>
      </c>
      <c r="H71" s="14">
        <v>7</v>
      </c>
      <c r="I71" s="14">
        <v>7</v>
      </c>
      <c r="J71" s="14">
        <v>8</v>
      </c>
    </row>
    <row r="72" spans="1:10" x14ac:dyDescent="0.3">
      <c r="A72" s="13" t="s">
        <v>736</v>
      </c>
      <c r="B72" s="21">
        <v>46178</v>
      </c>
      <c r="C72" s="20">
        <v>872775229882</v>
      </c>
      <c r="D72" s="13" t="s">
        <v>564</v>
      </c>
      <c r="E72" s="13" t="s">
        <v>524</v>
      </c>
      <c r="F72" s="13" t="s">
        <v>735</v>
      </c>
      <c r="G72" s="13">
        <v>1</v>
      </c>
      <c r="H72" s="14">
        <v>7</v>
      </c>
      <c r="I72" s="14">
        <v>7</v>
      </c>
      <c r="J72" s="14">
        <v>8</v>
      </c>
    </row>
    <row r="73" spans="1:10" x14ac:dyDescent="0.3">
      <c r="A73" s="13" t="s">
        <v>738</v>
      </c>
      <c r="B73" s="21">
        <v>46178</v>
      </c>
      <c r="C73" s="20">
        <v>872775960969</v>
      </c>
      <c r="D73" s="13" t="s">
        <v>739</v>
      </c>
      <c r="E73" s="13" t="s">
        <v>524</v>
      </c>
      <c r="F73" s="13" t="s">
        <v>737</v>
      </c>
      <c r="G73" s="13">
        <v>1</v>
      </c>
      <c r="H73" s="14">
        <v>7</v>
      </c>
      <c r="I73" s="14">
        <v>7</v>
      </c>
      <c r="J73" s="14">
        <v>8</v>
      </c>
    </row>
    <row r="74" spans="1:10" x14ac:dyDescent="0.3">
      <c r="A74" s="13" t="s">
        <v>734</v>
      </c>
      <c r="B74" s="21">
        <v>46178</v>
      </c>
      <c r="C74" s="20">
        <v>872776106705</v>
      </c>
      <c r="D74" s="13" t="s">
        <v>733</v>
      </c>
      <c r="E74" s="13" t="s">
        <v>509</v>
      </c>
      <c r="F74" s="13" t="s">
        <v>732</v>
      </c>
      <c r="G74" s="13">
        <v>1</v>
      </c>
      <c r="H74" s="14">
        <v>4</v>
      </c>
      <c r="I74" s="14">
        <v>4</v>
      </c>
      <c r="J74" s="14">
        <v>8</v>
      </c>
    </row>
    <row r="75" spans="1:10" x14ac:dyDescent="0.3">
      <c r="A75" s="13" t="s">
        <v>731</v>
      </c>
      <c r="B75" s="21">
        <v>46178</v>
      </c>
      <c r="C75" s="20">
        <v>872775101578</v>
      </c>
      <c r="D75" s="13" t="s">
        <v>533</v>
      </c>
      <c r="E75" s="13"/>
      <c r="F75" s="13" t="s">
        <v>730</v>
      </c>
      <c r="G75" s="13">
        <v>1</v>
      </c>
      <c r="H75" s="14">
        <v>0</v>
      </c>
      <c r="I75" s="14">
        <v>0</v>
      </c>
      <c r="J75" s="14">
        <v>8</v>
      </c>
    </row>
    <row r="76" spans="1:10" x14ac:dyDescent="0.3">
      <c r="A76" s="13" t="s">
        <v>729</v>
      </c>
      <c r="B76" s="21">
        <v>46178</v>
      </c>
      <c r="C76" s="20">
        <v>872775509054</v>
      </c>
      <c r="D76" s="13" t="s">
        <v>533</v>
      </c>
      <c r="E76" s="13"/>
      <c r="F76" s="13" t="s">
        <v>728</v>
      </c>
      <c r="G76" s="13">
        <v>1</v>
      </c>
      <c r="H76" s="14">
        <v>0</v>
      </c>
      <c r="I76" s="14">
        <v>0</v>
      </c>
      <c r="J76" s="14">
        <v>8</v>
      </c>
    </row>
    <row r="77" spans="1:10" x14ac:dyDescent="0.3">
      <c r="A77" s="13" t="s">
        <v>723</v>
      </c>
      <c r="B77" s="21">
        <v>46181</v>
      </c>
      <c r="C77" s="20">
        <v>872835138703</v>
      </c>
      <c r="D77" s="13" t="s">
        <v>724</v>
      </c>
      <c r="E77" s="13" t="s">
        <v>616</v>
      </c>
      <c r="F77" s="13" t="s">
        <v>693</v>
      </c>
      <c r="G77" s="13">
        <v>1</v>
      </c>
      <c r="H77" s="14">
        <v>4</v>
      </c>
      <c r="I77" s="14">
        <v>4</v>
      </c>
      <c r="J77" s="14">
        <v>8</v>
      </c>
    </row>
    <row r="78" spans="1:10" x14ac:dyDescent="0.3">
      <c r="A78" s="13" t="s">
        <v>723</v>
      </c>
      <c r="B78" s="21">
        <v>46181</v>
      </c>
      <c r="C78" s="20">
        <v>872835138703</v>
      </c>
      <c r="D78" s="13" t="s">
        <v>695</v>
      </c>
      <c r="E78" s="13" t="s">
        <v>542</v>
      </c>
      <c r="F78" s="13" t="s">
        <v>693</v>
      </c>
      <c r="G78" s="13">
        <v>1</v>
      </c>
      <c r="H78" s="14">
        <v>52</v>
      </c>
      <c r="I78" s="14">
        <v>52</v>
      </c>
      <c r="J78" s="14">
        <v>8</v>
      </c>
    </row>
    <row r="79" spans="1:10" x14ac:dyDescent="0.3">
      <c r="A79" s="13" t="s">
        <v>722</v>
      </c>
      <c r="B79" s="21">
        <v>46181</v>
      </c>
      <c r="C79" s="20">
        <v>872835257517</v>
      </c>
      <c r="D79" s="13" t="s">
        <v>571</v>
      </c>
      <c r="E79" s="13" t="s">
        <v>509</v>
      </c>
      <c r="F79" s="13" t="s">
        <v>721</v>
      </c>
      <c r="G79" s="13">
        <v>1</v>
      </c>
      <c r="H79" s="14">
        <v>4</v>
      </c>
      <c r="I79" s="14">
        <v>4</v>
      </c>
      <c r="J79" s="14">
        <v>8</v>
      </c>
    </row>
    <row r="80" spans="1:10" x14ac:dyDescent="0.3">
      <c r="A80" s="13" t="s">
        <v>720</v>
      </c>
      <c r="B80" s="21">
        <v>46181</v>
      </c>
      <c r="C80" s="20">
        <v>872835312000</v>
      </c>
      <c r="D80" s="13" t="s">
        <v>571</v>
      </c>
      <c r="E80" s="13" t="s">
        <v>509</v>
      </c>
      <c r="F80" s="13" t="s">
        <v>719</v>
      </c>
      <c r="G80" s="13">
        <v>1</v>
      </c>
      <c r="H80" s="14">
        <v>4</v>
      </c>
      <c r="I80" s="14">
        <v>4</v>
      </c>
      <c r="J80" s="14">
        <v>8</v>
      </c>
    </row>
    <row r="81" spans="1:10" x14ac:dyDescent="0.3">
      <c r="A81" s="13" t="s">
        <v>716</v>
      </c>
      <c r="B81" s="21">
        <v>46181</v>
      </c>
      <c r="C81" s="20">
        <v>872835416350</v>
      </c>
      <c r="D81" s="13" t="s">
        <v>715</v>
      </c>
      <c r="E81" s="13" t="s">
        <v>509</v>
      </c>
      <c r="F81" s="13" t="s">
        <v>714</v>
      </c>
      <c r="G81" s="13">
        <v>1</v>
      </c>
      <c r="H81" s="14">
        <v>4</v>
      </c>
      <c r="I81" s="14">
        <v>4</v>
      </c>
      <c r="J81" s="14">
        <v>8</v>
      </c>
    </row>
    <row r="82" spans="1:10" x14ac:dyDescent="0.3">
      <c r="A82" s="13" t="s">
        <v>727</v>
      </c>
      <c r="B82" s="21">
        <v>46181</v>
      </c>
      <c r="C82" s="20">
        <v>872834823747</v>
      </c>
      <c r="D82" s="13" t="s">
        <v>726</v>
      </c>
      <c r="E82" s="13"/>
      <c r="F82" s="13" t="s">
        <v>725</v>
      </c>
      <c r="G82" s="13">
        <v>1</v>
      </c>
      <c r="H82" s="14">
        <v>0</v>
      </c>
      <c r="I82" s="14">
        <v>0</v>
      </c>
      <c r="J82" s="14">
        <v>8</v>
      </c>
    </row>
    <row r="83" spans="1:10" x14ac:dyDescent="0.3">
      <c r="A83" s="13" t="s">
        <v>718</v>
      </c>
      <c r="B83" s="21">
        <v>46181</v>
      </c>
      <c r="C83" s="20">
        <v>872834958056</v>
      </c>
      <c r="D83" s="13" t="s">
        <v>717</v>
      </c>
      <c r="E83" s="13"/>
      <c r="F83" s="13"/>
      <c r="G83" s="13">
        <v>1</v>
      </c>
      <c r="H83" s="14">
        <v>0</v>
      </c>
      <c r="I83" s="14">
        <v>0</v>
      </c>
      <c r="J83" s="14">
        <v>8</v>
      </c>
    </row>
    <row r="84" spans="1:10" x14ac:dyDescent="0.3">
      <c r="A84" s="13" t="s">
        <v>718</v>
      </c>
      <c r="B84" s="21">
        <v>46181</v>
      </c>
      <c r="C84" s="20">
        <v>872863797650</v>
      </c>
      <c r="D84" s="13" t="s">
        <v>717</v>
      </c>
      <c r="E84" s="13"/>
      <c r="F84" s="13"/>
      <c r="G84" s="13">
        <v>1</v>
      </c>
      <c r="H84" s="14">
        <v>0</v>
      </c>
      <c r="I84" s="14">
        <v>0</v>
      </c>
      <c r="J84" s="14">
        <v>8</v>
      </c>
    </row>
    <row r="85" spans="1:10" x14ac:dyDescent="0.3">
      <c r="A85" s="13" t="s">
        <v>718</v>
      </c>
      <c r="B85" s="21">
        <v>46181</v>
      </c>
      <c r="C85" s="20">
        <v>872863774811</v>
      </c>
      <c r="D85" s="13" t="s">
        <v>717</v>
      </c>
      <c r="E85" s="13"/>
      <c r="F85" s="13"/>
      <c r="G85" s="13">
        <v>1</v>
      </c>
      <c r="H85" s="14">
        <v>0</v>
      </c>
      <c r="I85" s="14">
        <v>0</v>
      </c>
      <c r="J85" s="14">
        <v>8</v>
      </c>
    </row>
    <row r="86" spans="1:10" x14ac:dyDescent="0.3">
      <c r="A86" s="13" t="s">
        <v>701</v>
      </c>
      <c r="B86" s="21">
        <v>46182</v>
      </c>
      <c r="C86" s="20">
        <v>872890726467</v>
      </c>
      <c r="D86" s="13" t="s">
        <v>702</v>
      </c>
      <c r="E86" s="13" t="s">
        <v>562</v>
      </c>
      <c r="F86" s="13" t="s">
        <v>700</v>
      </c>
      <c r="G86" s="13">
        <v>1</v>
      </c>
      <c r="H86" s="14">
        <v>0</v>
      </c>
      <c r="I86" s="14">
        <v>0</v>
      </c>
      <c r="J86" s="14">
        <v>8</v>
      </c>
    </row>
    <row r="87" spans="1:10" x14ac:dyDescent="0.3">
      <c r="A87" s="13" t="s">
        <v>701</v>
      </c>
      <c r="B87" s="21">
        <v>46182</v>
      </c>
      <c r="C87" s="20">
        <v>872890726467</v>
      </c>
      <c r="D87" s="13" t="s">
        <v>653</v>
      </c>
      <c r="E87" s="13" t="s">
        <v>616</v>
      </c>
      <c r="F87" s="13" t="s">
        <v>700</v>
      </c>
      <c r="G87" s="13">
        <v>1</v>
      </c>
      <c r="H87" s="14">
        <v>0</v>
      </c>
      <c r="I87" s="14">
        <v>0</v>
      </c>
      <c r="J87" s="14">
        <v>8</v>
      </c>
    </row>
    <row r="88" spans="1:10" x14ac:dyDescent="0.3">
      <c r="A88" s="13" t="s">
        <v>705</v>
      </c>
      <c r="B88" s="21">
        <v>46182</v>
      </c>
      <c r="C88" s="20">
        <v>872891057967</v>
      </c>
      <c r="D88" s="13" t="s">
        <v>665</v>
      </c>
      <c r="E88" s="13" t="s">
        <v>616</v>
      </c>
      <c r="F88" s="13" t="s">
        <v>704</v>
      </c>
      <c r="G88" s="13">
        <v>1</v>
      </c>
      <c r="H88" s="14">
        <v>4</v>
      </c>
      <c r="I88" s="14">
        <v>4</v>
      </c>
      <c r="J88" s="14">
        <v>8</v>
      </c>
    </row>
    <row r="89" spans="1:10" x14ac:dyDescent="0.3">
      <c r="A89" s="13" t="s">
        <v>712</v>
      </c>
      <c r="B89" s="21">
        <v>46182</v>
      </c>
      <c r="C89" s="20">
        <v>872890848453</v>
      </c>
      <c r="D89" s="13" t="s">
        <v>671</v>
      </c>
      <c r="E89" s="13" t="s">
        <v>542</v>
      </c>
      <c r="F89" s="13" t="s">
        <v>709</v>
      </c>
      <c r="G89" s="13">
        <v>1</v>
      </c>
      <c r="H89" s="14">
        <v>52</v>
      </c>
      <c r="I89" s="14">
        <v>52</v>
      </c>
      <c r="J89" s="14">
        <v>8</v>
      </c>
    </row>
    <row r="90" spans="1:10" x14ac:dyDescent="0.3">
      <c r="A90" s="13" t="s">
        <v>705</v>
      </c>
      <c r="B90" s="21">
        <v>46182</v>
      </c>
      <c r="C90" s="20">
        <v>872891057967</v>
      </c>
      <c r="D90" s="13" t="s">
        <v>549</v>
      </c>
      <c r="E90" s="13" t="s">
        <v>542</v>
      </c>
      <c r="F90" s="13" t="s">
        <v>704</v>
      </c>
      <c r="G90" s="13">
        <v>1</v>
      </c>
      <c r="H90" s="14">
        <v>52</v>
      </c>
      <c r="I90" s="14">
        <v>52</v>
      </c>
      <c r="J90" s="14">
        <v>8</v>
      </c>
    </row>
    <row r="91" spans="1:10" x14ac:dyDescent="0.3">
      <c r="A91" s="13" t="s">
        <v>701</v>
      </c>
      <c r="B91" s="21">
        <v>46182</v>
      </c>
      <c r="C91" s="20">
        <v>872890726467</v>
      </c>
      <c r="D91" s="13" t="s">
        <v>651</v>
      </c>
      <c r="E91" s="13" t="s">
        <v>542</v>
      </c>
      <c r="F91" s="13" t="s">
        <v>700</v>
      </c>
      <c r="G91" s="13">
        <v>1</v>
      </c>
      <c r="H91" s="14">
        <v>52</v>
      </c>
      <c r="I91" s="14">
        <v>52</v>
      </c>
      <c r="J91" s="14">
        <v>8</v>
      </c>
    </row>
    <row r="92" spans="1:10" x14ac:dyDescent="0.3">
      <c r="A92" s="13" t="s">
        <v>708</v>
      </c>
      <c r="B92" s="21">
        <v>46182</v>
      </c>
      <c r="C92" s="20">
        <v>872890959199</v>
      </c>
      <c r="D92" s="13" t="s">
        <v>591</v>
      </c>
      <c r="E92" s="13" t="s">
        <v>520</v>
      </c>
      <c r="F92" s="13" t="s">
        <v>707</v>
      </c>
      <c r="G92" s="13">
        <v>1</v>
      </c>
      <c r="H92" s="14">
        <v>37</v>
      </c>
      <c r="I92" s="14">
        <v>37</v>
      </c>
      <c r="J92" s="14">
        <v>8</v>
      </c>
    </row>
    <row r="93" spans="1:10" x14ac:dyDescent="0.3">
      <c r="A93" s="13" t="s">
        <v>705</v>
      </c>
      <c r="B93" s="21">
        <v>46182</v>
      </c>
      <c r="C93" s="20">
        <v>872891057967</v>
      </c>
      <c r="D93" s="13" t="s">
        <v>706</v>
      </c>
      <c r="E93" s="13" t="s">
        <v>524</v>
      </c>
      <c r="F93" s="13" t="s">
        <v>704</v>
      </c>
      <c r="G93" s="13">
        <v>1</v>
      </c>
      <c r="H93" s="14">
        <v>7</v>
      </c>
      <c r="I93" s="14">
        <v>7</v>
      </c>
      <c r="J93" s="14">
        <v>8</v>
      </c>
    </row>
    <row r="94" spans="1:10" x14ac:dyDescent="0.3">
      <c r="A94" s="13" t="s">
        <v>701</v>
      </c>
      <c r="B94" s="21">
        <v>46182</v>
      </c>
      <c r="C94" s="20">
        <v>872890726467</v>
      </c>
      <c r="D94" s="13" t="s">
        <v>703</v>
      </c>
      <c r="E94" s="13" t="s">
        <v>524</v>
      </c>
      <c r="F94" s="13" t="s">
        <v>700</v>
      </c>
      <c r="G94" s="13">
        <v>1</v>
      </c>
      <c r="H94" s="14">
        <v>7</v>
      </c>
      <c r="I94" s="14">
        <v>7</v>
      </c>
      <c r="J94" s="14">
        <v>8</v>
      </c>
    </row>
    <row r="95" spans="1:10" x14ac:dyDescent="0.3">
      <c r="A95" s="13" t="s">
        <v>712</v>
      </c>
      <c r="B95" s="21">
        <v>46182</v>
      </c>
      <c r="C95" s="20">
        <v>872890848453</v>
      </c>
      <c r="D95" s="13" t="s">
        <v>713</v>
      </c>
      <c r="E95" s="13" t="s">
        <v>710</v>
      </c>
      <c r="F95" s="13" t="s">
        <v>709</v>
      </c>
      <c r="G95" s="13">
        <v>1</v>
      </c>
      <c r="H95" s="14">
        <v>4</v>
      </c>
      <c r="I95" s="14">
        <v>4</v>
      </c>
      <c r="J95" s="14">
        <v>8</v>
      </c>
    </row>
    <row r="96" spans="1:10" x14ac:dyDescent="0.3">
      <c r="A96" s="13" t="s">
        <v>712</v>
      </c>
      <c r="B96" s="21">
        <v>46182</v>
      </c>
      <c r="C96" s="20">
        <v>872890848453</v>
      </c>
      <c r="D96" s="13" t="s">
        <v>711</v>
      </c>
      <c r="E96" s="13" t="s">
        <v>710</v>
      </c>
      <c r="F96" s="13" t="s">
        <v>709</v>
      </c>
      <c r="G96" s="13">
        <v>1</v>
      </c>
      <c r="H96" s="14">
        <v>4</v>
      </c>
      <c r="I96" s="14">
        <v>4</v>
      </c>
      <c r="J96" s="14">
        <v>8</v>
      </c>
    </row>
    <row r="97" spans="1:10" x14ac:dyDescent="0.3">
      <c r="A97" s="13" t="s">
        <v>697</v>
      </c>
      <c r="B97" s="21">
        <v>46182</v>
      </c>
      <c r="C97" s="20">
        <v>872891280375</v>
      </c>
      <c r="D97" s="13" t="s">
        <v>574</v>
      </c>
      <c r="E97" s="13" t="s">
        <v>509</v>
      </c>
      <c r="F97" s="13" t="s">
        <v>696</v>
      </c>
      <c r="G97" s="13">
        <v>1</v>
      </c>
      <c r="H97" s="14">
        <v>4</v>
      </c>
      <c r="I97" s="14">
        <v>4</v>
      </c>
      <c r="J97" s="14">
        <v>8</v>
      </c>
    </row>
    <row r="98" spans="1:10" x14ac:dyDescent="0.3">
      <c r="A98" s="13" t="s">
        <v>699</v>
      </c>
      <c r="B98" s="21">
        <v>46182</v>
      </c>
      <c r="C98" s="20">
        <v>872891165225</v>
      </c>
      <c r="D98" s="13" t="s">
        <v>533</v>
      </c>
      <c r="E98" s="13"/>
      <c r="F98" s="13" t="s">
        <v>698</v>
      </c>
      <c r="G98" s="13">
        <v>1</v>
      </c>
      <c r="H98" s="14">
        <v>0</v>
      </c>
      <c r="I98" s="14">
        <v>0</v>
      </c>
      <c r="J98" s="14">
        <v>8</v>
      </c>
    </row>
    <row r="99" spans="1:10" x14ac:dyDescent="0.3">
      <c r="A99" s="13" t="s">
        <v>684</v>
      </c>
      <c r="B99" s="21">
        <v>46183</v>
      </c>
      <c r="C99" s="20">
        <v>872994273103</v>
      </c>
      <c r="D99" s="13" t="s">
        <v>653</v>
      </c>
      <c r="E99" s="13" t="s">
        <v>616</v>
      </c>
      <c r="F99" s="13" t="s">
        <v>683</v>
      </c>
      <c r="G99" s="13">
        <v>1</v>
      </c>
      <c r="H99" s="14">
        <v>0</v>
      </c>
      <c r="I99" s="14">
        <v>0</v>
      </c>
      <c r="J99" s="14">
        <v>8</v>
      </c>
    </row>
    <row r="100" spans="1:10" x14ac:dyDescent="0.3">
      <c r="A100" s="13" t="s">
        <v>679</v>
      </c>
      <c r="B100" s="21">
        <v>46183</v>
      </c>
      <c r="C100" s="20">
        <v>872994785409</v>
      </c>
      <c r="D100" s="13" t="s">
        <v>618</v>
      </c>
      <c r="E100" s="13" t="s">
        <v>545</v>
      </c>
      <c r="F100" s="13" t="s">
        <v>678</v>
      </c>
      <c r="G100" s="13">
        <v>1</v>
      </c>
      <c r="H100" s="14">
        <v>7</v>
      </c>
      <c r="I100" s="14">
        <v>7</v>
      </c>
      <c r="J100" s="14">
        <v>8</v>
      </c>
    </row>
    <row r="101" spans="1:10" x14ac:dyDescent="0.3">
      <c r="A101" s="13" t="s">
        <v>686</v>
      </c>
      <c r="B101" s="21">
        <v>46183</v>
      </c>
      <c r="C101" s="20">
        <v>872995088438</v>
      </c>
      <c r="D101" s="13" t="s">
        <v>665</v>
      </c>
      <c r="E101" s="13" t="s">
        <v>616</v>
      </c>
      <c r="F101" s="13" t="s">
        <v>685</v>
      </c>
      <c r="G101" s="13">
        <v>1</v>
      </c>
      <c r="H101" s="14">
        <v>4</v>
      </c>
      <c r="I101" s="14">
        <v>4</v>
      </c>
      <c r="J101" s="14">
        <v>8</v>
      </c>
    </row>
    <row r="102" spans="1:10" x14ac:dyDescent="0.3">
      <c r="A102" s="13" t="s">
        <v>694</v>
      </c>
      <c r="B102" s="21">
        <v>46183</v>
      </c>
      <c r="C102" s="20">
        <v>872994608084</v>
      </c>
      <c r="D102" s="13" t="s">
        <v>695</v>
      </c>
      <c r="E102" s="13" t="s">
        <v>542</v>
      </c>
      <c r="F102" s="13" t="s">
        <v>693</v>
      </c>
      <c r="G102" s="13">
        <v>1</v>
      </c>
      <c r="H102" s="14">
        <v>52</v>
      </c>
      <c r="I102" s="14">
        <v>52</v>
      </c>
      <c r="J102" s="14">
        <v>8</v>
      </c>
    </row>
    <row r="103" spans="1:10" x14ac:dyDescent="0.3">
      <c r="A103" s="13" t="s">
        <v>688</v>
      </c>
      <c r="B103" s="21">
        <v>46183</v>
      </c>
      <c r="C103" s="20">
        <v>872995291186</v>
      </c>
      <c r="D103" s="13" t="s">
        <v>626</v>
      </c>
      <c r="E103" s="13" t="s">
        <v>542</v>
      </c>
      <c r="F103" s="13" t="s">
        <v>687</v>
      </c>
      <c r="G103" s="13">
        <v>1</v>
      </c>
      <c r="H103" s="14">
        <v>52</v>
      </c>
      <c r="I103" s="14">
        <v>52</v>
      </c>
      <c r="J103" s="14">
        <v>8</v>
      </c>
    </row>
    <row r="104" spans="1:10" x14ac:dyDescent="0.3">
      <c r="A104" s="13" t="s">
        <v>686</v>
      </c>
      <c r="B104" s="21">
        <v>46183</v>
      </c>
      <c r="C104" s="20">
        <v>872995088438</v>
      </c>
      <c r="D104" s="13" t="s">
        <v>626</v>
      </c>
      <c r="E104" s="13" t="s">
        <v>542</v>
      </c>
      <c r="F104" s="13" t="s">
        <v>685</v>
      </c>
      <c r="G104" s="13">
        <v>1</v>
      </c>
      <c r="H104" s="14">
        <v>52</v>
      </c>
      <c r="I104" s="14">
        <v>52</v>
      </c>
      <c r="J104" s="14">
        <v>8</v>
      </c>
    </row>
    <row r="105" spans="1:10" x14ac:dyDescent="0.3">
      <c r="A105" s="13" t="s">
        <v>684</v>
      </c>
      <c r="B105" s="21">
        <v>46183</v>
      </c>
      <c r="C105" s="20">
        <v>872994273103</v>
      </c>
      <c r="D105" s="13" t="s">
        <v>651</v>
      </c>
      <c r="E105" s="13" t="s">
        <v>542</v>
      </c>
      <c r="F105" s="13" t="s">
        <v>683</v>
      </c>
      <c r="G105" s="13">
        <v>1</v>
      </c>
      <c r="H105" s="14">
        <v>52</v>
      </c>
      <c r="I105" s="14">
        <v>52</v>
      </c>
      <c r="J105" s="14">
        <v>8</v>
      </c>
    </row>
    <row r="106" spans="1:10" x14ac:dyDescent="0.3">
      <c r="A106" s="13" t="s">
        <v>679</v>
      </c>
      <c r="B106" s="21">
        <v>46183</v>
      </c>
      <c r="C106" s="20">
        <v>872994785409</v>
      </c>
      <c r="D106" s="13" t="s">
        <v>610</v>
      </c>
      <c r="E106" s="13" t="s">
        <v>542</v>
      </c>
      <c r="F106" s="13" t="s">
        <v>678</v>
      </c>
      <c r="G106" s="13">
        <v>1</v>
      </c>
      <c r="H106" s="14">
        <v>52</v>
      </c>
      <c r="I106" s="14">
        <v>52</v>
      </c>
      <c r="J106" s="14">
        <v>8</v>
      </c>
    </row>
    <row r="107" spans="1:10" x14ac:dyDescent="0.3">
      <c r="A107" s="13" t="s">
        <v>692</v>
      </c>
      <c r="B107" s="21">
        <v>46183</v>
      </c>
      <c r="C107" s="20">
        <v>872994390223</v>
      </c>
      <c r="D107" s="13" t="s">
        <v>586</v>
      </c>
      <c r="E107" s="13" t="s">
        <v>520</v>
      </c>
      <c r="F107" s="13" t="s">
        <v>691</v>
      </c>
      <c r="G107" s="13">
        <v>1</v>
      </c>
      <c r="H107" s="14">
        <v>37</v>
      </c>
      <c r="I107" s="14">
        <v>37</v>
      </c>
      <c r="J107" s="14">
        <v>8</v>
      </c>
    </row>
    <row r="108" spans="1:10" x14ac:dyDescent="0.3">
      <c r="A108" s="13" t="s">
        <v>690</v>
      </c>
      <c r="B108" s="21">
        <v>46183</v>
      </c>
      <c r="C108" s="20">
        <v>872995392277</v>
      </c>
      <c r="D108" s="13" t="s">
        <v>586</v>
      </c>
      <c r="E108" s="13" t="s">
        <v>520</v>
      </c>
      <c r="F108" s="13" t="s">
        <v>689</v>
      </c>
      <c r="G108" s="13">
        <v>1</v>
      </c>
      <c r="H108" s="14">
        <v>37</v>
      </c>
      <c r="I108" s="14">
        <v>37</v>
      </c>
      <c r="J108" s="14">
        <v>8</v>
      </c>
    </row>
    <row r="109" spans="1:10" x14ac:dyDescent="0.3">
      <c r="A109" s="13" t="s">
        <v>694</v>
      </c>
      <c r="B109" s="21">
        <v>46183</v>
      </c>
      <c r="C109" s="20">
        <v>872994608084</v>
      </c>
      <c r="D109" s="13" t="s">
        <v>632</v>
      </c>
      <c r="E109" s="13" t="s">
        <v>539</v>
      </c>
      <c r="F109" s="13" t="s">
        <v>693</v>
      </c>
      <c r="G109" s="13">
        <v>1</v>
      </c>
      <c r="H109" s="14">
        <v>4</v>
      </c>
      <c r="I109" s="14">
        <v>4</v>
      </c>
      <c r="J109" s="14">
        <v>8</v>
      </c>
    </row>
    <row r="110" spans="1:10" x14ac:dyDescent="0.3">
      <c r="A110" s="13" t="s">
        <v>688</v>
      </c>
      <c r="B110" s="21">
        <v>46183</v>
      </c>
      <c r="C110" s="20">
        <v>872995291186</v>
      </c>
      <c r="D110" s="13" t="s">
        <v>630</v>
      </c>
      <c r="E110" s="13" t="s">
        <v>524</v>
      </c>
      <c r="F110" s="13" t="s">
        <v>687</v>
      </c>
      <c r="G110" s="13">
        <v>1</v>
      </c>
      <c r="H110" s="14">
        <v>7</v>
      </c>
      <c r="I110" s="14">
        <v>7</v>
      </c>
      <c r="J110" s="14">
        <v>8</v>
      </c>
    </row>
    <row r="111" spans="1:10" x14ac:dyDescent="0.3">
      <c r="A111" s="13" t="s">
        <v>686</v>
      </c>
      <c r="B111" s="21">
        <v>46183</v>
      </c>
      <c r="C111" s="20">
        <v>872995088438</v>
      </c>
      <c r="D111" s="13" t="s">
        <v>630</v>
      </c>
      <c r="E111" s="13" t="s">
        <v>524</v>
      </c>
      <c r="F111" s="13" t="s">
        <v>685</v>
      </c>
      <c r="G111" s="13">
        <v>1</v>
      </c>
      <c r="H111" s="14">
        <v>7</v>
      </c>
      <c r="I111" s="14">
        <v>7</v>
      </c>
      <c r="J111" s="14">
        <v>8</v>
      </c>
    </row>
    <row r="112" spans="1:10" x14ac:dyDescent="0.3">
      <c r="A112" s="13" t="s">
        <v>684</v>
      </c>
      <c r="B112" s="21">
        <v>46183</v>
      </c>
      <c r="C112" s="20">
        <v>872994273103</v>
      </c>
      <c r="D112" s="13" t="s">
        <v>654</v>
      </c>
      <c r="E112" s="13" t="s">
        <v>524</v>
      </c>
      <c r="F112" s="13" t="s">
        <v>683</v>
      </c>
      <c r="G112" s="13">
        <v>1</v>
      </c>
      <c r="H112" s="14">
        <v>7</v>
      </c>
      <c r="I112" s="14">
        <v>7</v>
      </c>
      <c r="J112" s="14">
        <v>8</v>
      </c>
    </row>
    <row r="113" spans="1:10" x14ac:dyDescent="0.3">
      <c r="A113" s="13" t="s">
        <v>681</v>
      </c>
      <c r="B113" s="21">
        <v>46183</v>
      </c>
      <c r="C113" s="20">
        <v>872994492858</v>
      </c>
      <c r="D113" s="13" t="s">
        <v>571</v>
      </c>
      <c r="E113" s="13" t="s">
        <v>509</v>
      </c>
      <c r="F113" s="13" t="s">
        <v>680</v>
      </c>
      <c r="G113" s="13">
        <v>1</v>
      </c>
      <c r="H113" s="14">
        <v>4</v>
      </c>
      <c r="I113" s="14">
        <v>4</v>
      </c>
      <c r="J113" s="14">
        <v>8</v>
      </c>
    </row>
    <row r="114" spans="1:10" x14ac:dyDescent="0.3">
      <c r="A114" s="13" t="s">
        <v>518</v>
      </c>
      <c r="B114" s="21">
        <v>46183</v>
      </c>
      <c r="C114" s="20">
        <v>872995191367</v>
      </c>
      <c r="D114" s="13" t="s">
        <v>517</v>
      </c>
      <c r="E114" s="13" t="s">
        <v>509</v>
      </c>
      <c r="F114" s="13" t="s">
        <v>516</v>
      </c>
      <c r="G114" s="13">
        <v>1</v>
      </c>
      <c r="H114" s="14">
        <v>4</v>
      </c>
      <c r="I114" s="14">
        <v>4</v>
      </c>
      <c r="J114" s="14">
        <v>8</v>
      </c>
    </row>
    <row r="115" spans="1:10" x14ac:dyDescent="0.3">
      <c r="A115" s="13" t="s">
        <v>675</v>
      </c>
      <c r="B115" s="21">
        <v>46183</v>
      </c>
      <c r="C115" s="20">
        <v>872995002903</v>
      </c>
      <c r="D115" s="13" t="s">
        <v>574</v>
      </c>
      <c r="E115" s="13" t="s">
        <v>509</v>
      </c>
      <c r="F115" s="13" t="s">
        <v>674</v>
      </c>
      <c r="G115" s="13">
        <v>1</v>
      </c>
      <c r="H115" s="14">
        <v>4</v>
      </c>
      <c r="I115" s="14">
        <v>4</v>
      </c>
      <c r="J115" s="14">
        <v>8</v>
      </c>
    </row>
    <row r="116" spans="1:10" x14ac:dyDescent="0.3">
      <c r="A116" s="13" t="s">
        <v>681</v>
      </c>
      <c r="B116" s="21">
        <v>46183</v>
      </c>
      <c r="C116" s="20">
        <v>872994492858</v>
      </c>
      <c r="D116" s="13" t="s">
        <v>682</v>
      </c>
      <c r="E116" s="13"/>
      <c r="F116" s="13" t="s">
        <v>680</v>
      </c>
      <c r="G116" s="13">
        <v>1</v>
      </c>
      <c r="H116" s="14">
        <v>0</v>
      </c>
      <c r="I116" s="14">
        <v>0</v>
      </c>
      <c r="J116" s="14">
        <v>8</v>
      </c>
    </row>
    <row r="117" spans="1:10" x14ac:dyDescent="0.3">
      <c r="A117" s="13" t="s">
        <v>677</v>
      </c>
      <c r="B117" s="21">
        <v>46183</v>
      </c>
      <c r="C117" s="20">
        <v>872994901044</v>
      </c>
      <c r="D117" s="13" t="s">
        <v>533</v>
      </c>
      <c r="E117" s="13"/>
      <c r="F117" s="13" t="s">
        <v>676</v>
      </c>
      <c r="G117" s="13">
        <v>1</v>
      </c>
      <c r="H117" s="14">
        <v>0</v>
      </c>
      <c r="I117" s="14">
        <v>0</v>
      </c>
      <c r="J117" s="14">
        <v>8</v>
      </c>
    </row>
    <row r="118" spans="1:10" x14ac:dyDescent="0.3">
      <c r="A118" s="13" t="s">
        <v>666</v>
      </c>
      <c r="B118" s="21">
        <v>46184</v>
      </c>
      <c r="C118" s="20">
        <v>872996215103</v>
      </c>
      <c r="D118" s="13" t="s">
        <v>670</v>
      </c>
      <c r="E118" s="13" t="s">
        <v>562</v>
      </c>
      <c r="F118" s="13" t="s">
        <v>664</v>
      </c>
      <c r="G118" s="13">
        <v>1</v>
      </c>
      <c r="H118" s="14">
        <v>4</v>
      </c>
      <c r="I118" s="14">
        <v>4</v>
      </c>
      <c r="J118" s="14">
        <v>8</v>
      </c>
    </row>
    <row r="119" spans="1:10" x14ac:dyDescent="0.3">
      <c r="A119" s="13" t="s">
        <v>662</v>
      </c>
      <c r="B119" s="21">
        <v>46184</v>
      </c>
      <c r="C119" s="20">
        <v>872995870997</v>
      </c>
      <c r="D119" s="13" t="s">
        <v>663</v>
      </c>
      <c r="E119" s="13" t="s">
        <v>545</v>
      </c>
      <c r="F119" s="13" t="s">
        <v>660</v>
      </c>
      <c r="G119" s="13">
        <v>1</v>
      </c>
      <c r="H119" s="14">
        <v>7</v>
      </c>
      <c r="I119" s="14">
        <v>7</v>
      </c>
      <c r="J119" s="14">
        <v>8</v>
      </c>
    </row>
    <row r="120" spans="1:10" x14ac:dyDescent="0.3">
      <c r="A120" s="13" t="s">
        <v>672</v>
      </c>
      <c r="B120" s="21">
        <v>46184</v>
      </c>
      <c r="C120" s="20">
        <v>872996071130</v>
      </c>
      <c r="D120" s="13" t="s">
        <v>673</v>
      </c>
      <c r="E120" s="13" t="s">
        <v>616</v>
      </c>
      <c r="F120" s="13" t="s">
        <v>544</v>
      </c>
      <c r="G120" s="13">
        <v>1</v>
      </c>
      <c r="H120" s="14">
        <v>4</v>
      </c>
      <c r="I120" s="14">
        <v>4</v>
      </c>
      <c r="J120" s="14">
        <v>8</v>
      </c>
    </row>
    <row r="121" spans="1:10" x14ac:dyDescent="0.3">
      <c r="A121" s="13" t="s">
        <v>666</v>
      </c>
      <c r="B121" s="21">
        <v>46184</v>
      </c>
      <c r="C121" s="20">
        <v>872996215103</v>
      </c>
      <c r="D121" s="13" t="s">
        <v>665</v>
      </c>
      <c r="E121" s="13" t="s">
        <v>616</v>
      </c>
      <c r="F121" s="13" t="s">
        <v>664</v>
      </c>
      <c r="G121" s="13">
        <v>1</v>
      </c>
      <c r="H121" s="14">
        <v>4</v>
      </c>
      <c r="I121" s="14">
        <v>4</v>
      </c>
      <c r="J121" s="14">
        <v>8</v>
      </c>
    </row>
    <row r="122" spans="1:10" x14ac:dyDescent="0.3">
      <c r="A122" s="13" t="s">
        <v>672</v>
      </c>
      <c r="B122" s="21">
        <v>46184</v>
      </c>
      <c r="C122" s="20">
        <v>872996071130</v>
      </c>
      <c r="D122" s="13" t="s">
        <v>671</v>
      </c>
      <c r="E122" s="13" t="s">
        <v>542</v>
      </c>
      <c r="F122" s="13" t="s">
        <v>544</v>
      </c>
      <c r="G122" s="13">
        <v>1</v>
      </c>
      <c r="H122" s="14">
        <v>52</v>
      </c>
      <c r="I122" s="14">
        <v>52</v>
      </c>
      <c r="J122" s="14">
        <v>8</v>
      </c>
    </row>
    <row r="123" spans="1:10" x14ac:dyDescent="0.3">
      <c r="A123" s="13" t="s">
        <v>666</v>
      </c>
      <c r="B123" s="21">
        <v>46184</v>
      </c>
      <c r="C123" s="20">
        <v>872996215103</v>
      </c>
      <c r="D123" s="13" t="s">
        <v>549</v>
      </c>
      <c r="E123" s="13" t="s">
        <v>542</v>
      </c>
      <c r="F123" s="13" t="s">
        <v>664</v>
      </c>
      <c r="G123" s="13">
        <v>1</v>
      </c>
      <c r="H123" s="14">
        <v>52</v>
      </c>
      <c r="I123" s="14">
        <v>52</v>
      </c>
      <c r="J123" s="14">
        <v>8</v>
      </c>
    </row>
    <row r="124" spans="1:10" x14ac:dyDescent="0.3">
      <c r="A124" s="13" t="s">
        <v>662</v>
      </c>
      <c r="B124" s="21">
        <v>46184</v>
      </c>
      <c r="C124" s="20">
        <v>872995870997</v>
      </c>
      <c r="D124" s="13" t="s">
        <v>661</v>
      </c>
      <c r="E124" s="13" t="s">
        <v>542</v>
      </c>
      <c r="F124" s="13" t="s">
        <v>660</v>
      </c>
      <c r="G124" s="13">
        <v>1</v>
      </c>
      <c r="H124" s="14">
        <v>52</v>
      </c>
      <c r="I124" s="14">
        <v>52</v>
      </c>
      <c r="J124" s="14">
        <v>8</v>
      </c>
    </row>
    <row r="125" spans="1:10" x14ac:dyDescent="0.3">
      <c r="A125" s="13" t="s">
        <v>668</v>
      </c>
      <c r="B125" s="21">
        <v>46184</v>
      </c>
      <c r="C125" s="20">
        <v>872995741299</v>
      </c>
      <c r="D125" s="13" t="s">
        <v>586</v>
      </c>
      <c r="E125" s="13" t="s">
        <v>520</v>
      </c>
      <c r="F125" s="13" t="s">
        <v>667</v>
      </c>
      <c r="G125" s="13">
        <v>1</v>
      </c>
      <c r="H125" s="14">
        <v>37</v>
      </c>
      <c r="I125" s="14">
        <v>37</v>
      </c>
      <c r="J125" s="14">
        <v>8</v>
      </c>
    </row>
    <row r="126" spans="1:10" x14ac:dyDescent="0.3">
      <c r="A126" s="13" t="s">
        <v>668</v>
      </c>
      <c r="B126" s="21">
        <v>46184</v>
      </c>
      <c r="C126" s="20">
        <v>872995741299</v>
      </c>
      <c r="D126" s="13" t="s">
        <v>521</v>
      </c>
      <c r="E126" s="13" t="s">
        <v>520</v>
      </c>
      <c r="F126" s="13" t="s">
        <v>667</v>
      </c>
      <c r="G126" s="13">
        <v>1</v>
      </c>
      <c r="H126" s="14">
        <v>37</v>
      </c>
      <c r="I126" s="14">
        <v>37</v>
      </c>
      <c r="J126" s="14">
        <v>8</v>
      </c>
    </row>
    <row r="127" spans="1:10" x14ac:dyDescent="0.3">
      <c r="A127" s="13" t="s">
        <v>666</v>
      </c>
      <c r="B127" s="21">
        <v>46184</v>
      </c>
      <c r="C127" s="20">
        <v>872996215103</v>
      </c>
      <c r="D127" s="13" t="s">
        <v>669</v>
      </c>
      <c r="E127" s="13" t="s">
        <v>524</v>
      </c>
      <c r="F127" s="13" t="s">
        <v>664</v>
      </c>
      <c r="G127" s="13">
        <v>1</v>
      </c>
      <c r="H127" s="14">
        <v>7</v>
      </c>
      <c r="I127" s="14">
        <v>7</v>
      </c>
      <c r="J127" s="14">
        <v>8</v>
      </c>
    </row>
    <row r="128" spans="1:10" x14ac:dyDescent="0.3">
      <c r="A128" s="13" t="s">
        <v>601</v>
      </c>
      <c r="B128" s="21">
        <v>46184</v>
      </c>
      <c r="C128" s="20">
        <v>872995978729</v>
      </c>
      <c r="D128" s="13" t="s">
        <v>510</v>
      </c>
      <c r="E128" s="13" t="s">
        <v>509</v>
      </c>
      <c r="F128" s="13" t="s">
        <v>600</v>
      </c>
      <c r="G128" s="13">
        <v>1</v>
      </c>
      <c r="H128" s="14">
        <v>4</v>
      </c>
      <c r="I128" s="14">
        <v>4</v>
      </c>
      <c r="J128" s="14">
        <v>8</v>
      </c>
    </row>
    <row r="129" spans="1:10" x14ac:dyDescent="0.3">
      <c r="A129" s="13" t="s">
        <v>652</v>
      </c>
      <c r="B129" s="21">
        <v>46185</v>
      </c>
      <c r="C129" s="20">
        <v>873089054425</v>
      </c>
      <c r="D129" s="13" t="s">
        <v>653</v>
      </c>
      <c r="E129" s="13" t="s">
        <v>616</v>
      </c>
      <c r="F129" s="13" t="s">
        <v>650</v>
      </c>
      <c r="G129" s="13">
        <v>1</v>
      </c>
      <c r="H129" s="14">
        <v>0</v>
      </c>
      <c r="I129" s="14">
        <v>0</v>
      </c>
      <c r="J129" s="14">
        <v>8</v>
      </c>
    </row>
    <row r="130" spans="1:10" x14ac:dyDescent="0.3">
      <c r="A130" s="13" t="s">
        <v>652</v>
      </c>
      <c r="B130" s="21">
        <v>46185</v>
      </c>
      <c r="C130" s="20">
        <v>873089054425</v>
      </c>
      <c r="D130" s="13" t="s">
        <v>651</v>
      </c>
      <c r="E130" s="13" t="s">
        <v>542</v>
      </c>
      <c r="F130" s="13" t="s">
        <v>650</v>
      </c>
      <c r="G130" s="13">
        <v>1</v>
      </c>
      <c r="H130" s="14">
        <v>52</v>
      </c>
      <c r="I130" s="14">
        <v>52</v>
      </c>
      <c r="J130" s="14">
        <v>8</v>
      </c>
    </row>
    <row r="131" spans="1:10" x14ac:dyDescent="0.3">
      <c r="A131" s="13" t="s">
        <v>656</v>
      </c>
      <c r="B131" s="21">
        <v>46185</v>
      </c>
      <c r="C131" s="20">
        <v>873088835311</v>
      </c>
      <c r="D131" s="13" t="s">
        <v>586</v>
      </c>
      <c r="E131" s="13" t="s">
        <v>520</v>
      </c>
      <c r="F131" s="13" t="s">
        <v>655</v>
      </c>
      <c r="G131" s="13">
        <v>1</v>
      </c>
      <c r="H131" s="14">
        <v>37</v>
      </c>
      <c r="I131" s="14">
        <v>37</v>
      </c>
      <c r="J131" s="14">
        <v>8</v>
      </c>
    </row>
    <row r="132" spans="1:10" x14ac:dyDescent="0.3">
      <c r="A132" s="13" t="s">
        <v>656</v>
      </c>
      <c r="B132" s="21">
        <v>46185</v>
      </c>
      <c r="C132" s="20">
        <v>873088835311</v>
      </c>
      <c r="D132" s="13" t="s">
        <v>586</v>
      </c>
      <c r="E132" s="13" t="s">
        <v>520</v>
      </c>
      <c r="F132" s="13" t="s">
        <v>655</v>
      </c>
      <c r="G132" s="13">
        <v>1</v>
      </c>
      <c r="H132" s="14">
        <v>37</v>
      </c>
      <c r="I132" s="14">
        <v>37</v>
      </c>
      <c r="J132" s="14">
        <v>8</v>
      </c>
    </row>
    <row r="133" spans="1:10" x14ac:dyDescent="0.3">
      <c r="A133" s="13" t="s">
        <v>656</v>
      </c>
      <c r="B133" s="21">
        <v>46185</v>
      </c>
      <c r="C133" s="20">
        <v>873088835311</v>
      </c>
      <c r="D133" s="13" t="s">
        <v>586</v>
      </c>
      <c r="E133" s="13" t="s">
        <v>520</v>
      </c>
      <c r="F133" s="13" t="s">
        <v>655</v>
      </c>
      <c r="G133" s="13">
        <v>1</v>
      </c>
      <c r="H133" s="14">
        <v>37</v>
      </c>
      <c r="I133" s="14">
        <v>37</v>
      </c>
      <c r="J133" s="14">
        <v>8</v>
      </c>
    </row>
    <row r="134" spans="1:10" x14ac:dyDescent="0.3">
      <c r="A134" s="13" t="s">
        <v>652</v>
      </c>
      <c r="B134" s="21">
        <v>46185</v>
      </c>
      <c r="C134" s="20">
        <v>873089054425</v>
      </c>
      <c r="D134" s="13" t="s">
        <v>654</v>
      </c>
      <c r="E134" s="13" t="s">
        <v>524</v>
      </c>
      <c r="F134" s="13" t="s">
        <v>650</v>
      </c>
      <c r="G134" s="13">
        <v>1</v>
      </c>
      <c r="H134" s="14">
        <v>7</v>
      </c>
      <c r="I134" s="14">
        <v>7</v>
      </c>
      <c r="J134" s="14">
        <v>8</v>
      </c>
    </row>
    <row r="135" spans="1:10" x14ac:dyDescent="0.3">
      <c r="A135" s="13" t="s">
        <v>649</v>
      </c>
      <c r="B135" s="21">
        <v>46185</v>
      </c>
      <c r="C135" s="20">
        <v>873088512540</v>
      </c>
      <c r="D135" s="13" t="s">
        <v>644</v>
      </c>
      <c r="E135" s="13" t="s">
        <v>509</v>
      </c>
      <c r="F135" s="13" t="s">
        <v>648</v>
      </c>
      <c r="G135" s="13">
        <v>1</v>
      </c>
      <c r="H135" s="14">
        <v>4</v>
      </c>
      <c r="I135" s="14">
        <v>4</v>
      </c>
      <c r="J135" s="14">
        <v>8</v>
      </c>
    </row>
    <row r="136" spans="1:10" x14ac:dyDescent="0.3">
      <c r="A136" s="13" t="s">
        <v>647</v>
      </c>
      <c r="B136" s="21">
        <v>46185</v>
      </c>
      <c r="C136" s="20">
        <v>873087409800</v>
      </c>
      <c r="D136" s="13" t="s">
        <v>644</v>
      </c>
      <c r="E136" s="13" t="s">
        <v>509</v>
      </c>
      <c r="F136" s="13" t="s">
        <v>646</v>
      </c>
      <c r="G136" s="13">
        <v>1</v>
      </c>
      <c r="H136" s="14">
        <v>4</v>
      </c>
      <c r="I136" s="14">
        <v>4</v>
      </c>
      <c r="J136" s="14">
        <v>8</v>
      </c>
    </row>
    <row r="137" spans="1:10" x14ac:dyDescent="0.3">
      <c r="A137" s="13" t="s">
        <v>645</v>
      </c>
      <c r="B137" s="21">
        <v>46185</v>
      </c>
      <c r="C137" s="20">
        <v>873087205901</v>
      </c>
      <c r="D137" s="13" t="s">
        <v>644</v>
      </c>
      <c r="E137" s="13" t="s">
        <v>509</v>
      </c>
      <c r="F137" s="13" t="s">
        <v>643</v>
      </c>
      <c r="G137" s="13">
        <v>1</v>
      </c>
      <c r="H137" s="14">
        <v>4</v>
      </c>
      <c r="I137" s="14">
        <v>4</v>
      </c>
      <c r="J137" s="14">
        <v>8</v>
      </c>
    </row>
    <row r="138" spans="1:10" x14ac:dyDescent="0.3">
      <c r="A138" s="13" t="s">
        <v>642</v>
      </c>
      <c r="B138" s="21">
        <v>46185</v>
      </c>
      <c r="C138" s="20">
        <v>873087606920</v>
      </c>
      <c r="D138" s="13" t="s">
        <v>639</v>
      </c>
      <c r="E138" s="13" t="s">
        <v>509</v>
      </c>
      <c r="F138" s="13" t="s">
        <v>641</v>
      </c>
      <c r="G138" s="13">
        <v>1</v>
      </c>
      <c r="H138" s="14">
        <v>4</v>
      </c>
      <c r="I138" s="14">
        <v>4</v>
      </c>
      <c r="J138" s="14">
        <v>8</v>
      </c>
    </row>
    <row r="139" spans="1:10" x14ac:dyDescent="0.3">
      <c r="A139" s="13" t="s">
        <v>640</v>
      </c>
      <c r="B139" s="21">
        <v>46185</v>
      </c>
      <c r="C139" s="20">
        <v>873088089537</v>
      </c>
      <c r="D139" s="13" t="s">
        <v>639</v>
      </c>
      <c r="E139" s="13" t="s">
        <v>509</v>
      </c>
      <c r="F139" s="13" t="s">
        <v>638</v>
      </c>
      <c r="G139" s="13">
        <v>1</v>
      </c>
      <c r="H139" s="14">
        <v>4</v>
      </c>
      <c r="I139" s="14">
        <v>4</v>
      </c>
      <c r="J139" s="14">
        <v>8</v>
      </c>
    </row>
    <row r="140" spans="1:10" x14ac:dyDescent="0.3">
      <c r="A140" s="13" t="s">
        <v>637</v>
      </c>
      <c r="B140" s="21">
        <v>46185</v>
      </c>
      <c r="C140" s="20">
        <v>873088674379</v>
      </c>
      <c r="D140" s="13" t="s">
        <v>574</v>
      </c>
      <c r="E140" s="13" t="s">
        <v>509</v>
      </c>
      <c r="F140" s="13" t="s">
        <v>636</v>
      </c>
      <c r="G140" s="13">
        <v>1</v>
      </c>
      <c r="H140" s="14">
        <v>4</v>
      </c>
      <c r="I140" s="14">
        <v>4</v>
      </c>
      <c r="J140" s="14">
        <v>8</v>
      </c>
    </row>
    <row r="141" spans="1:10" x14ac:dyDescent="0.3">
      <c r="A141" s="13" t="s">
        <v>659</v>
      </c>
      <c r="B141" s="21">
        <v>46185</v>
      </c>
      <c r="C141" s="20">
        <v>873087899143</v>
      </c>
      <c r="D141" s="13" t="s">
        <v>658</v>
      </c>
      <c r="E141" s="13"/>
      <c r="F141" s="13" t="s">
        <v>657</v>
      </c>
      <c r="G141" s="13">
        <v>1</v>
      </c>
      <c r="H141" s="14">
        <v>0</v>
      </c>
      <c r="I141" s="14">
        <v>0</v>
      </c>
      <c r="J141" s="14">
        <v>8</v>
      </c>
    </row>
    <row r="142" spans="1:10" x14ac:dyDescent="0.3">
      <c r="A142" s="13" t="s">
        <v>659</v>
      </c>
      <c r="B142" s="21">
        <v>46185</v>
      </c>
      <c r="C142" s="20">
        <v>873087899143</v>
      </c>
      <c r="D142" s="13" t="s">
        <v>658</v>
      </c>
      <c r="E142" s="13"/>
      <c r="F142" s="13" t="s">
        <v>657</v>
      </c>
      <c r="G142" s="13">
        <v>1</v>
      </c>
      <c r="H142" s="14">
        <v>0</v>
      </c>
      <c r="I142" s="14">
        <v>0</v>
      </c>
      <c r="J142" s="14">
        <v>8</v>
      </c>
    </row>
    <row r="143" spans="1:10" x14ac:dyDescent="0.3">
      <c r="A143" s="13" t="s">
        <v>635</v>
      </c>
      <c r="B143" s="21">
        <v>46185</v>
      </c>
      <c r="C143" s="20">
        <v>873088246209</v>
      </c>
      <c r="D143" s="13" t="s">
        <v>634</v>
      </c>
      <c r="E143" s="13"/>
      <c r="F143" s="13"/>
      <c r="G143" s="13">
        <v>1</v>
      </c>
      <c r="H143" s="14">
        <v>0</v>
      </c>
      <c r="I143" s="14">
        <v>0</v>
      </c>
      <c r="J143" s="14">
        <v>8</v>
      </c>
    </row>
    <row r="144" spans="1:10" x14ac:dyDescent="0.3">
      <c r="A144" s="13" t="s">
        <v>627</v>
      </c>
      <c r="B144" s="21">
        <v>46188</v>
      </c>
      <c r="C144" s="20">
        <v>873160582135</v>
      </c>
      <c r="D144" s="13" t="s">
        <v>629</v>
      </c>
      <c r="E144" s="13" t="s">
        <v>545</v>
      </c>
      <c r="F144" s="13" t="s">
        <v>565</v>
      </c>
      <c r="G144" s="13">
        <v>1</v>
      </c>
      <c r="H144" s="14">
        <v>7</v>
      </c>
      <c r="I144" s="14">
        <v>7</v>
      </c>
      <c r="J144" s="14">
        <v>8</v>
      </c>
    </row>
    <row r="145" spans="1:10" x14ac:dyDescent="0.3">
      <c r="A145" s="13" t="s">
        <v>613</v>
      </c>
      <c r="B145" s="21">
        <v>46188</v>
      </c>
      <c r="C145" s="20">
        <v>873158209156</v>
      </c>
      <c r="D145" s="13" t="s">
        <v>618</v>
      </c>
      <c r="E145" s="13" t="s">
        <v>545</v>
      </c>
      <c r="F145" s="13" t="s">
        <v>612</v>
      </c>
      <c r="G145" s="13">
        <v>1</v>
      </c>
      <c r="H145" s="14">
        <v>7</v>
      </c>
      <c r="I145" s="14">
        <v>7</v>
      </c>
      <c r="J145" s="14">
        <v>8</v>
      </c>
    </row>
    <row r="146" spans="1:10" x14ac:dyDescent="0.3">
      <c r="A146" s="13" t="s">
        <v>615</v>
      </c>
      <c r="B146" s="21">
        <v>46188</v>
      </c>
      <c r="C146" s="20">
        <v>873160382482</v>
      </c>
      <c r="D146" s="13" t="s">
        <v>617</v>
      </c>
      <c r="E146" s="13" t="s">
        <v>616</v>
      </c>
      <c r="F146" s="13" t="s">
        <v>614</v>
      </c>
      <c r="G146" s="13">
        <v>1</v>
      </c>
      <c r="H146" s="14">
        <v>4</v>
      </c>
      <c r="I146" s="14">
        <v>4</v>
      </c>
      <c r="J146" s="14">
        <v>8</v>
      </c>
    </row>
    <row r="147" spans="1:10" x14ac:dyDescent="0.3">
      <c r="A147" s="13" t="s">
        <v>611</v>
      </c>
      <c r="B147" s="21">
        <v>46188</v>
      </c>
      <c r="C147" s="20">
        <v>873159101799</v>
      </c>
      <c r="D147" s="13" t="s">
        <v>617</v>
      </c>
      <c r="E147" s="13" t="s">
        <v>616</v>
      </c>
      <c r="F147" s="13" t="s">
        <v>609</v>
      </c>
      <c r="G147" s="13">
        <v>1</v>
      </c>
      <c r="H147" s="14">
        <v>4</v>
      </c>
      <c r="I147" s="14">
        <v>4</v>
      </c>
      <c r="J147" s="14">
        <v>8</v>
      </c>
    </row>
    <row r="148" spans="1:10" x14ac:dyDescent="0.3">
      <c r="A148" s="13" t="s">
        <v>628</v>
      </c>
      <c r="B148" s="21">
        <v>46188</v>
      </c>
      <c r="C148" s="20">
        <v>873160733430</v>
      </c>
      <c r="D148" s="13" t="s">
        <v>626</v>
      </c>
      <c r="E148" s="13" t="s">
        <v>542</v>
      </c>
      <c r="F148" s="13" t="s">
        <v>519</v>
      </c>
      <c r="G148" s="13">
        <v>1</v>
      </c>
      <c r="H148" s="14">
        <v>52</v>
      </c>
      <c r="I148" s="14">
        <v>52</v>
      </c>
      <c r="J148" s="14">
        <v>8</v>
      </c>
    </row>
    <row r="149" spans="1:10" x14ac:dyDescent="0.3">
      <c r="A149" s="13" t="s">
        <v>627</v>
      </c>
      <c r="B149" s="21">
        <v>46188</v>
      </c>
      <c r="C149" s="20">
        <v>873160582135</v>
      </c>
      <c r="D149" s="13" t="s">
        <v>626</v>
      </c>
      <c r="E149" s="13" t="s">
        <v>542</v>
      </c>
      <c r="F149" s="13" t="s">
        <v>565</v>
      </c>
      <c r="G149" s="13">
        <v>1</v>
      </c>
      <c r="H149" s="14">
        <v>52</v>
      </c>
      <c r="I149" s="14">
        <v>52</v>
      </c>
      <c r="J149" s="14">
        <v>8</v>
      </c>
    </row>
    <row r="150" spans="1:10" x14ac:dyDescent="0.3">
      <c r="A150" s="13" t="s">
        <v>624</v>
      </c>
      <c r="B150" s="21">
        <v>46188</v>
      </c>
      <c r="C150" s="20">
        <v>873158948943</v>
      </c>
      <c r="D150" s="13" t="s">
        <v>557</v>
      </c>
      <c r="E150" s="13" t="s">
        <v>542</v>
      </c>
      <c r="F150" s="13" t="s">
        <v>623</v>
      </c>
      <c r="G150" s="13">
        <v>1</v>
      </c>
      <c r="H150" s="14">
        <v>52</v>
      </c>
      <c r="I150" s="14">
        <v>52</v>
      </c>
      <c r="J150" s="14">
        <v>8</v>
      </c>
    </row>
    <row r="151" spans="1:10" x14ac:dyDescent="0.3">
      <c r="A151" s="13" t="s">
        <v>622</v>
      </c>
      <c r="B151" s="21">
        <v>46188</v>
      </c>
      <c r="C151" s="20">
        <v>873160916043</v>
      </c>
      <c r="D151" s="13" t="s">
        <v>557</v>
      </c>
      <c r="E151" s="13" t="s">
        <v>542</v>
      </c>
      <c r="F151" s="13" t="s">
        <v>570</v>
      </c>
      <c r="G151" s="13">
        <v>1</v>
      </c>
      <c r="H151" s="14">
        <v>52</v>
      </c>
      <c r="I151" s="14">
        <v>52</v>
      </c>
      <c r="J151" s="14">
        <v>8</v>
      </c>
    </row>
    <row r="152" spans="1:10" x14ac:dyDescent="0.3">
      <c r="A152" s="13" t="s">
        <v>615</v>
      </c>
      <c r="B152" s="21">
        <v>46188</v>
      </c>
      <c r="C152" s="20">
        <v>873160382482</v>
      </c>
      <c r="D152" s="13" t="s">
        <v>610</v>
      </c>
      <c r="E152" s="13" t="s">
        <v>542</v>
      </c>
      <c r="F152" s="13" t="s">
        <v>614</v>
      </c>
      <c r="G152" s="13">
        <v>1</v>
      </c>
      <c r="H152" s="14">
        <v>52</v>
      </c>
      <c r="I152" s="14">
        <v>52</v>
      </c>
      <c r="J152" s="14">
        <v>8</v>
      </c>
    </row>
    <row r="153" spans="1:10" x14ac:dyDescent="0.3">
      <c r="A153" s="13" t="s">
        <v>613</v>
      </c>
      <c r="B153" s="21">
        <v>46188</v>
      </c>
      <c r="C153" s="20">
        <v>873158209156</v>
      </c>
      <c r="D153" s="13" t="s">
        <v>610</v>
      </c>
      <c r="E153" s="13" t="s">
        <v>542</v>
      </c>
      <c r="F153" s="13" t="s">
        <v>612</v>
      </c>
      <c r="G153" s="13">
        <v>1</v>
      </c>
      <c r="H153" s="14">
        <v>52</v>
      </c>
      <c r="I153" s="14">
        <v>52</v>
      </c>
      <c r="J153" s="14">
        <v>8</v>
      </c>
    </row>
    <row r="154" spans="1:10" x14ac:dyDescent="0.3">
      <c r="A154" s="13" t="s">
        <v>611</v>
      </c>
      <c r="B154" s="21">
        <v>46188</v>
      </c>
      <c r="C154" s="20">
        <v>873159101799</v>
      </c>
      <c r="D154" s="13" t="s">
        <v>610</v>
      </c>
      <c r="E154" s="13" t="s">
        <v>542</v>
      </c>
      <c r="F154" s="13" t="s">
        <v>609</v>
      </c>
      <c r="G154" s="13">
        <v>1</v>
      </c>
      <c r="H154" s="14">
        <v>52</v>
      </c>
      <c r="I154" s="14">
        <v>52</v>
      </c>
      <c r="J154" s="14">
        <v>8</v>
      </c>
    </row>
    <row r="155" spans="1:10" x14ac:dyDescent="0.3">
      <c r="A155" s="13" t="s">
        <v>633</v>
      </c>
      <c r="B155" s="21">
        <v>46188</v>
      </c>
      <c r="C155" s="20">
        <v>873159310192</v>
      </c>
      <c r="D155" s="13" t="s">
        <v>632</v>
      </c>
      <c r="E155" s="13" t="s">
        <v>539</v>
      </c>
      <c r="F155" s="13" t="s">
        <v>631</v>
      </c>
      <c r="G155" s="13">
        <v>1</v>
      </c>
      <c r="H155" s="14">
        <v>4</v>
      </c>
      <c r="I155" s="14">
        <v>4</v>
      </c>
      <c r="J155" s="14">
        <v>8</v>
      </c>
    </row>
    <row r="156" spans="1:10" x14ac:dyDescent="0.3">
      <c r="A156" s="13" t="s">
        <v>628</v>
      </c>
      <c r="B156" s="21">
        <v>46188</v>
      </c>
      <c r="C156" s="20">
        <v>873160733430</v>
      </c>
      <c r="D156" s="13" t="s">
        <v>630</v>
      </c>
      <c r="E156" s="13" t="s">
        <v>524</v>
      </c>
      <c r="F156" s="13" t="s">
        <v>519</v>
      </c>
      <c r="G156" s="13">
        <v>1</v>
      </c>
      <c r="H156" s="14">
        <v>7</v>
      </c>
      <c r="I156" s="14">
        <v>7</v>
      </c>
      <c r="J156" s="14">
        <v>8</v>
      </c>
    </row>
    <row r="157" spans="1:10" x14ac:dyDescent="0.3">
      <c r="A157" s="13" t="s">
        <v>624</v>
      </c>
      <c r="B157" s="21">
        <v>46188</v>
      </c>
      <c r="C157" s="20">
        <v>873158948943</v>
      </c>
      <c r="D157" s="13" t="s">
        <v>625</v>
      </c>
      <c r="E157" s="13" t="s">
        <v>524</v>
      </c>
      <c r="F157" s="13" t="s">
        <v>623</v>
      </c>
      <c r="G157" s="13">
        <v>1</v>
      </c>
      <c r="H157" s="14">
        <v>7</v>
      </c>
      <c r="I157" s="14">
        <v>7</v>
      </c>
      <c r="J157" s="14">
        <v>8</v>
      </c>
    </row>
    <row r="158" spans="1:10" x14ac:dyDescent="0.3">
      <c r="A158" s="13" t="s">
        <v>607</v>
      </c>
      <c r="B158" s="21">
        <v>46188</v>
      </c>
      <c r="C158" s="20">
        <v>873157645608</v>
      </c>
      <c r="D158" s="13" t="s">
        <v>510</v>
      </c>
      <c r="E158" s="13" t="s">
        <v>509</v>
      </c>
      <c r="F158" s="13" t="s">
        <v>606</v>
      </c>
      <c r="G158" s="13">
        <v>1</v>
      </c>
      <c r="H158" s="14">
        <v>4</v>
      </c>
      <c r="I158" s="14">
        <v>4</v>
      </c>
      <c r="J158" s="14">
        <v>8</v>
      </c>
    </row>
    <row r="159" spans="1:10" x14ac:dyDescent="0.3">
      <c r="A159" s="13" t="s">
        <v>605</v>
      </c>
      <c r="B159" s="21">
        <v>46188</v>
      </c>
      <c r="C159" s="20">
        <v>873157857170</v>
      </c>
      <c r="D159" s="13" t="s">
        <v>510</v>
      </c>
      <c r="E159" s="13" t="s">
        <v>509</v>
      </c>
      <c r="F159" s="13" t="s">
        <v>604</v>
      </c>
      <c r="G159" s="13">
        <v>1</v>
      </c>
      <c r="H159" s="14">
        <v>4</v>
      </c>
      <c r="I159" s="14">
        <v>4</v>
      </c>
      <c r="J159" s="14">
        <v>8</v>
      </c>
    </row>
    <row r="160" spans="1:10" x14ac:dyDescent="0.3">
      <c r="A160" s="13" t="s">
        <v>603</v>
      </c>
      <c r="B160" s="21">
        <v>46188</v>
      </c>
      <c r="C160" s="20">
        <v>873158050250</v>
      </c>
      <c r="D160" s="13" t="s">
        <v>510</v>
      </c>
      <c r="E160" s="13" t="s">
        <v>509</v>
      </c>
      <c r="F160" s="13" t="s">
        <v>602</v>
      </c>
      <c r="G160" s="13">
        <v>1</v>
      </c>
      <c r="H160" s="14">
        <v>4</v>
      </c>
      <c r="I160" s="14">
        <v>4</v>
      </c>
      <c r="J160" s="14">
        <v>8</v>
      </c>
    </row>
    <row r="161" spans="1:10" x14ac:dyDescent="0.3">
      <c r="A161" s="13" t="s">
        <v>603</v>
      </c>
      <c r="B161" s="21">
        <v>46188</v>
      </c>
      <c r="C161" s="20">
        <v>873158050250</v>
      </c>
      <c r="D161" s="13" t="s">
        <v>510</v>
      </c>
      <c r="E161" s="13" t="s">
        <v>509</v>
      </c>
      <c r="F161" s="13" t="s">
        <v>602</v>
      </c>
      <c r="G161" s="13">
        <v>1</v>
      </c>
      <c r="H161" s="14">
        <v>4</v>
      </c>
      <c r="I161" s="14">
        <v>4</v>
      </c>
      <c r="J161" s="14">
        <v>8</v>
      </c>
    </row>
    <row r="162" spans="1:10" x14ac:dyDescent="0.3">
      <c r="A162" s="13" t="s">
        <v>601</v>
      </c>
      <c r="B162" s="21">
        <v>46188</v>
      </c>
      <c r="C162" s="20">
        <v>873158406211</v>
      </c>
      <c r="D162" s="13" t="s">
        <v>510</v>
      </c>
      <c r="E162" s="13" t="s">
        <v>509</v>
      </c>
      <c r="F162" s="13" t="s">
        <v>600</v>
      </c>
      <c r="G162" s="13">
        <v>1</v>
      </c>
      <c r="H162" s="14">
        <v>4</v>
      </c>
      <c r="I162" s="14">
        <v>4</v>
      </c>
      <c r="J162" s="14">
        <v>8</v>
      </c>
    </row>
    <row r="163" spans="1:10" x14ac:dyDescent="0.3">
      <c r="A163" s="13" t="s">
        <v>599</v>
      </c>
      <c r="B163" s="21">
        <v>46188</v>
      </c>
      <c r="C163" s="20">
        <v>873160225016</v>
      </c>
      <c r="D163" s="13" t="s">
        <v>574</v>
      </c>
      <c r="E163" s="13" t="s">
        <v>509</v>
      </c>
      <c r="F163" s="13" t="s">
        <v>598</v>
      </c>
      <c r="G163" s="13">
        <v>1</v>
      </c>
      <c r="H163" s="14">
        <v>4</v>
      </c>
      <c r="I163" s="14">
        <v>4</v>
      </c>
      <c r="J163" s="14">
        <v>8</v>
      </c>
    </row>
    <row r="164" spans="1:10" x14ac:dyDescent="0.3">
      <c r="A164" s="13" t="s">
        <v>621</v>
      </c>
      <c r="B164" s="21">
        <v>46188</v>
      </c>
      <c r="C164" s="20">
        <v>873160093882</v>
      </c>
      <c r="D164" s="13" t="s">
        <v>620</v>
      </c>
      <c r="E164" s="13"/>
      <c r="F164" s="13" t="s">
        <v>619</v>
      </c>
      <c r="G164" s="13">
        <v>1</v>
      </c>
      <c r="H164" s="14">
        <v>0</v>
      </c>
      <c r="I164" s="14">
        <v>0</v>
      </c>
      <c r="J164" s="14">
        <v>8</v>
      </c>
    </row>
    <row r="165" spans="1:10" x14ac:dyDescent="0.3">
      <c r="A165" s="13" t="s">
        <v>608</v>
      </c>
      <c r="B165" s="21">
        <v>46188</v>
      </c>
      <c r="C165" s="20">
        <v>873159906704</v>
      </c>
      <c r="D165" s="13" t="s">
        <v>554</v>
      </c>
      <c r="E165" s="13"/>
      <c r="F165" s="13"/>
      <c r="G165" s="13">
        <v>1</v>
      </c>
      <c r="H165" s="14">
        <v>0</v>
      </c>
      <c r="I165" s="14">
        <v>0</v>
      </c>
      <c r="J165" s="14">
        <v>8</v>
      </c>
    </row>
    <row r="166" spans="1:10" x14ac:dyDescent="0.3">
      <c r="A166" s="13" t="s">
        <v>597</v>
      </c>
      <c r="B166" s="21">
        <v>46189</v>
      </c>
      <c r="C166" s="20">
        <v>873196604616</v>
      </c>
      <c r="D166" s="13" t="s">
        <v>563</v>
      </c>
      <c r="E166" s="13" t="s">
        <v>562</v>
      </c>
      <c r="F166" s="13" t="s">
        <v>596</v>
      </c>
      <c r="G166" s="13">
        <v>1</v>
      </c>
      <c r="H166" s="14">
        <v>0</v>
      </c>
      <c r="I166" s="14">
        <v>0</v>
      </c>
      <c r="J166" s="14">
        <v>8</v>
      </c>
    </row>
    <row r="167" spans="1:10" x14ac:dyDescent="0.3">
      <c r="A167" s="13" t="s">
        <v>597</v>
      </c>
      <c r="B167" s="21">
        <v>46189</v>
      </c>
      <c r="C167" s="20">
        <v>873196604616</v>
      </c>
      <c r="D167" s="13" t="s">
        <v>561</v>
      </c>
      <c r="E167" s="13" t="s">
        <v>616</v>
      </c>
      <c r="F167" s="13" t="s">
        <v>596</v>
      </c>
      <c r="G167" s="13">
        <v>1</v>
      </c>
      <c r="H167" s="14">
        <v>0</v>
      </c>
      <c r="I167" s="14">
        <v>0</v>
      </c>
      <c r="J167" s="14">
        <v>8</v>
      </c>
    </row>
    <row r="168" spans="1:10" x14ac:dyDescent="0.3">
      <c r="A168" s="13" t="s">
        <v>597</v>
      </c>
      <c r="B168" s="21">
        <v>46189</v>
      </c>
      <c r="C168" s="20">
        <v>873196604616</v>
      </c>
      <c r="D168" s="13" t="s">
        <v>557</v>
      </c>
      <c r="E168" s="13" t="s">
        <v>542</v>
      </c>
      <c r="F168" s="13" t="s">
        <v>596</v>
      </c>
      <c r="G168" s="13">
        <v>1</v>
      </c>
      <c r="H168" s="14">
        <v>52</v>
      </c>
      <c r="I168" s="14">
        <v>52</v>
      </c>
      <c r="J168" s="14">
        <v>8</v>
      </c>
    </row>
    <row r="169" spans="1:10" x14ac:dyDescent="0.3">
      <c r="A169" s="13" t="s">
        <v>597</v>
      </c>
      <c r="B169" s="21">
        <v>46189</v>
      </c>
      <c r="C169" s="20">
        <v>873196604616</v>
      </c>
      <c r="D169" s="13" t="s">
        <v>564</v>
      </c>
      <c r="E169" s="13" t="s">
        <v>524</v>
      </c>
      <c r="F169" s="13" t="s">
        <v>596</v>
      </c>
      <c r="G169" s="13">
        <v>1</v>
      </c>
      <c r="H169" s="14">
        <v>7</v>
      </c>
      <c r="I169" s="14">
        <v>7</v>
      </c>
      <c r="J169" s="14">
        <v>8</v>
      </c>
    </row>
    <row r="170" spans="1:10" x14ac:dyDescent="0.3">
      <c r="A170" s="13" t="s">
        <v>595</v>
      </c>
      <c r="B170" s="21">
        <v>46189</v>
      </c>
      <c r="C170" s="20">
        <v>873196448403</v>
      </c>
      <c r="D170" s="13" t="s">
        <v>594</v>
      </c>
      <c r="E170" s="13" t="s">
        <v>509</v>
      </c>
      <c r="F170" s="13" t="s">
        <v>593</v>
      </c>
      <c r="G170" s="13">
        <v>1</v>
      </c>
      <c r="H170" s="14">
        <v>4</v>
      </c>
      <c r="I170" s="14">
        <v>4</v>
      </c>
      <c r="J170" s="14">
        <v>8</v>
      </c>
    </row>
    <row r="171" spans="1:10" x14ac:dyDescent="0.3">
      <c r="A171" s="13" t="s">
        <v>592</v>
      </c>
      <c r="B171" s="21">
        <v>46191</v>
      </c>
      <c r="C171" s="20">
        <v>873251028636</v>
      </c>
      <c r="D171" s="13" t="s">
        <v>591</v>
      </c>
      <c r="E171" s="13" t="s">
        <v>520</v>
      </c>
      <c r="F171" s="13" t="s">
        <v>590</v>
      </c>
      <c r="G171" s="13">
        <v>1</v>
      </c>
      <c r="H171" s="14">
        <v>37</v>
      </c>
      <c r="I171" s="14">
        <v>37</v>
      </c>
      <c r="J171" s="14">
        <v>8</v>
      </c>
    </row>
    <row r="172" spans="1:10" x14ac:dyDescent="0.3">
      <c r="A172" s="13" t="s">
        <v>589</v>
      </c>
      <c r="B172" s="21">
        <v>46191</v>
      </c>
      <c r="C172" s="20">
        <v>873250854812</v>
      </c>
      <c r="D172" s="13" t="s">
        <v>586</v>
      </c>
      <c r="E172" s="13" t="s">
        <v>520</v>
      </c>
      <c r="F172" s="13" t="s">
        <v>588</v>
      </c>
      <c r="G172" s="13">
        <v>1</v>
      </c>
      <c r="H172" s="14">
        <v>37</v>
      </c>
      <c r="I172" s="14">
        <v>37</v>
      </c>
      <c r="J172" s="14">
        <v>8</v>
      </c>
    </row>
    <row r="173" spans="1:10" x14ac:dyDescent="0.3">
      <c r="A173" s="13" t="s">
        <v>587</v>
      </c>
      <c r="B173" s="21">
        <v>46191</v>
      </c>
      <c r="C173" s="20">
        <v>873250907544</v>
      </c>
      <c r="D173" s="13" t="s">
        <v>586</v>
      </c>
      <c r="E173" s="13" t="s">
        <v>520</v>
      </c>
      <c r="F173" s="13" t="s">
        <v>585</v>
      </c>
      <c r="G173" s="13">
        <v>1</v>
      </c>
      <c r="H173" s="14">
        <v>37</v>
      </c>
      <c r="I173" s="14">
        <v>37</v>
      </c>
      <c r="J173" s="14">
        <v>8</v>
      </c>
    </row>
    <row r="174" spans="1:10" x14ac:dyDescent="0.3">
      <c r="A174" s="13" t="s">
        <v>584</v>
      </c>
      <c r="B174" s="21">
        <v>46191</v>
      </c>
      <c r="C174" s="20">
        <v>873251202252</v>
      </c>
      <c r="D174" s="13" t="s">
        <v>525</v>
      </c>
      <c r="E174" s="13" t="s">
        <v>524</v>
      </c>
      <c r="F174" s="13" t="s">
        <v>583</v>
      </c>
      <c r="G174" s="13">
        <v>1</v>
      </c>
      <c r="H174" s="14">
        <v>7</v>
      </c>
      <c r="I174" s="14">
        <v>7</v>
      </c>
      <c r="J174" s="14">
        <v>8</v>
      </c>
    </row>
    <row r="175" spans="1:10" x14ac:dyDescent="0.3">
      <c r="A175" s="13" t="s">
        <v>580</v>
      </c>
      <c r="B175" s="21">
        <v>46191</v>
      </c>
      <c r="C175" s="20">
        <v>873300403223</v>
      </c>
      <c r="D175" s="13" t="s">
        <v>579</v>
      </c>
      <c r="E175" s="13" t="s">
        <v>509</v>
      </c>
      <c r="F175" s="13" t="s">
        <v>578</v>
      </c>
      <c r="G175" s="13">
        <v>1</v>
      </c>
      <c r="H175" s="14">
        <v>4</v>
      </c>
      <c r="I175" s="14">
        <v>4</v>
      </c>
      <c r="J175" s="14">
        <v>8</v>
      </c>
    </row>
    <row r="176" spans="1:10" x14ac:dyDescent="0.3">
      <c r="A176" s="13" t="s">
        <v>577</v>
      </c>
      <c r="B176" s="21">
        <v>46191</v>
      </c>
      <c r="C176" s="20">
        <v>873250725754</v>
      </c>
      <c r="D176" s="13" t="s">
        <v>574</v>
      </c>
      <c r="E176" s="13" t="s">
        <v>509</v>
      </c>
      <c r="F176" s="13" t="s">
        <v>576</v>
      </c>
      <c r="G176" s="13">
        <v>1</v>
      </c>
      <c r="H176" s="14">
        <v>4</v>
      </c>
      <c r="I176" s="14">
        <v>4</v>
      </c>
      <c r="J176" s="14">
        <v>8</v>
      </c>
    </row>
    <row r="177" spans="1:10" x14ac:dyDescent="0.3">
      <c r="A177" s="13" t="s">
        <v>575</v>
      </c>
      <c r="B177" s="21">
        <v>46191</v>
      </c>
      <c r="C177" s="20">
        <v>873300031921</v>
      </c>
      <c r="D177" s="13" t="s">
        <v>574</v>
      </c>
      <c r="E177" s="13" t="s">
        <v>509</v>
      </c>
      <c r="F177" s="13" t="s">
        <v>573</v>
      </c>
      <c r="G177" s="13">
        <v>1</v>
      </c>
      <c r="H177" s="14">
        <v>4</v>
      </c>
      <c r="I177" s="14">
        <v>4</v>
      </c>
      <c r="J177" s="14">
        <v>8</v>
      </c>
    </row>
    <row r="178" spans="1:10" x14ac:dyDescent="0.3">
      <c r="A178" s="13" t="s">
        <v>582</v>
      </c>
      <c r="B178" s="21">
        <v>46191</v>
      </c>
      <c r="C178" s="20">
        <v>873300295300</v>
      </c>
      <c r="D178" s="13" t="s">
        <v>533</v>
      </c>
      <c r="E178" s="13"/>
      <c r="F178" s="13" t="s">
        <v>581</v>
      </c>
      <c r="G178" s="13">
        <v>1</v>
      </c>
      <c r="H178" s="14">
        <v>0</v>
      </c>
      <c r="I178" s="14">
        <v>0</v>
      </c>
      <c r="J178" s="14">
        <v>8</v>
      </c>
    </row>
    <row r="179" spans="1:10" x14ac:dyDescent="0.3">
      <c r="A179" s="13" t="s">
        <v>572</v>
      </c>
      <c r="B179" s="21">
        <v>46192</v>
      </c>
      <c r="C179" s="20">
        <v>873371981305</v>
      </c>
      <c r="D179" s="13" t="s">
        <v>571</v>
      </c>
      <c r="E179" s="13" t="s">
        <v>509</v>
      </c>
      <c r="F179" s="13" t="s">
        <v>570</v>
      </c>
      <c r="G179" s="13">
        <v>1</v>
      </c>
      <c r="H179" s="14">
        <v>4</v>
      </c>
      <c r="I179" s="14">
        <v>4</v>
      </c>
      <c r="J179" s="14">
        <v>8</v>
      </c>
    </row>
    <row r="180" spans="1:10" x14ac:dyDescent="0.3">
      <c r="A180" s="13" t="s">
        <v>569</v>
      </c>
      <c r="B180" s="21">
        <v>46192</v>
      </c>
      <c r="C180" s="20">
        <v>873371846723</v>
      </c>
      <c r="D180" s="13" t="s">
        <v>568</v>
      </c>
      <c r="E180" s="13" t="s">
        <v>509</v>
      </c>
      <c r="F180" s="13" t="s">
        <v>567</v>
      </c>
      <c r="G180" s="13">
        <v>1</v>
      </c>
      <c r="H180" s="14">
        <v>4</v>
      </c>
      <c r="I180" s="14">
        <v>4</v>
      </c>
      <c r="J180" s="14">
        <v>8</v>
      </c>
    </row>
    <row r="181" spans="1:10" x14ac:dyDescent="0.3">
      <c r="A181" s="13" t="s">
        <v>558</v>
      </c>
      <c r="B181" s="21">
        <v>46195</v>
      </c>
      <c r="C181" s="20">
        <v>873444231013</v>
      </c>
      <c r="D181" s="13" t="s">
        <v>563</v>
      </c>
      <c r="E181" s="13" t="s">
        <v>562</v>
      </c>
      <c r="F181" s="13" t="s">
        <v>556</v>
      </c>
      <c r="G181" s="13">
        <v>1</v>
      </c>
      <c r="H181" s="14">
        <v>0</v>
      </c>
      <c r="I181" s="14">
        <v>0</v>
      </c>
      <c r="J181" s="14">
        <v>8</v>
      </c>
    </row>
    <row r="182" spans="1:10" x14ac:dyDescent="0.3">
      <c r="A182" s="13" t="s">
        <v>560</v>
      </c>
      <c r="B182" s="21">
        <v>46195</v>
      </c>
      <c r="C182" s="20">
        <v>873432730613</v>
      </c>
      <c r="D182" s="13" t="s">
        <v>561</v>
      </c>
      <c r="E182" s="13" t="s">
        <v>616</v>
      </c>
      <c r="F182" s="13" t="s">
        <v>559</v>
      </c>
      <c r="G182" s="13">
        <v>1</v>
      </c>
      <c r="H182" s="14">
        <v>0</v>
      </c>
      <c r="I182" s="14">
        <v>0</v>
      </c>
      <c r="J182" s="14">
        <v>8</v>
      </c>
    </row>
    <row r="183" spans="1:10" x14ac:dyDescent="0.3">
      <c r="A183" s="13" t="s">
        <v>558</v>
      </c>
      <c r="B183" s="21">
        <v>46195</v>
      </c>
      <c r="C183" s="20">
        <v>873444137626</v>
      </c>
      <c r="D183" s="13" t="s">
        <v>561</v>
      </c>
      <c r="E183" s="13" t="s">
        <v>616</v>
      </c>
      <c r="F183" s="13" t="s">
        <v>556</v>
      </c>
      <c r="G183" s="13">
        <v>1</v>
      </c>
      <c r="H183" s="14">
        <v>0</v>
      </c>
      <c r="I183" s="14">
        <v>0</v>
      </c>
      <c r="J183" s="14">
        <v>8</v>
      </c>
    </row>
    <row r="184" spans="1:10" x14ac:dyDescent="0.3">
      <c r="A184" s="13" t="s">
        <v>566</v>
      </c>
      <c r="B184" s="21">
        <v>46195</v>
      </c>
      <c r="C184" s="20">
        <v>873433021318</v>
      </c>
      <c r="D184" s="13" t="s">
        <v>549</v>
      </c>
      <c r="E184" s="13" t="s">
        <v>542</v>
      </c>
      <c r="F184" s="13" t="s">
        <v>565</v>
      </c>
      <c r="G184" s="13">
        <v>1</v>
      </c>
      <c r="H184" s="14">
        <v>52</v>
      </c>
      <c r="I184" s="14">
        <v>52</v>
      </c>
      <c r="J184" s="14">
        <v>8</v>
      </c>
    </row>
    <row r="185" spans="1:10" x14ac:dyDescent="0.3">
      <c r="A185" s="13" t="s">
        <v>560</v>
      </c>
      <c r="B185" s="21">
        <v>46195</v>
      </c>
      <c r="C185" s="20">
        <v>873432730613</v>
      </c>
      <c r="D185" s="13" t="s">
        <v>557</v>
      </c>
      <c r="E185" s="13" t="s">
        <v>542</v>
      </c>
      <c r="F185" s="13" t="s">
        <v>559</v>
      </c>
      <c r="G185" s="13">
        <v>1</v>
      </c>
      <c r="H185" s="14">
        <v>52</v>
      </c>
      <c r="I185" s="14">
        <v>52</v>
      </c>
      <c r="J185" s="14">
        <v>8</v>
      </c>
    </row>
    <row r="186" spans="1:10" x14ac:dyDescent="0.3">
      <c r="A186" s="13" t="s">
        <v>558</v>
      </c>
      <c r="B186" s="21">
        <v>46195</v>
      </c>
      <c r="C186" s="20">
        <v>873443926510</v>
      </c>
      <c r="D186" s="13" t="s">
        <v>557</v>
      </c>
      <c r="E186" s="13" t="s">
        <v>542</v>
      </c>
      <c r="F186" s="13" t="s">
        <v>556</v>
      </c>
      <c r="G186" s="13">
        <v>1</v>
      </c>
      <c r="H186" s="14">
        <v>52</v>
      </c>
      <c r="I186" s="14">
        <v>52</v>
      </c>
      <c r="J186" s="14">
        <v>8</v>
      </c>
    </row>
    <row r="187" spans="1:10" x14ac:dyDescent="0.3">
      <c r="A187" s="13" t="s">
        <v>560</v>
      </c>
      <c r="B187" s="21">
        <v>46195</v>
      </c>
      <c r="C187" s="20">
        <v>873432730613</v>
      </c>
      <c r="D187" s="13" t="s">
        <v>564</v>
      </c>
      <c r="E187" s="13" t="s">
        <v>524</v>
      </c>
      <c r="F187" s="13" t="s">
        <v>559</v>
      </c>
      <c r="G187" s="13">
        <v>1</v>
      </c>
      <c r="H187" s="14">
        <v>7</v>
      </c>
      <c r="I187" s="14">
        <v>7</v>
      </c>
      <c r="J187" s="14">
        <v>8</v>
      </c>
    </row>
    <row r="188" spans="1:10" x14ac:dyDescent="0.3">
      <c r="A188" s="13" t="s">
        <v>558</v>
      </c>
      <c r="B188" s="21">
        <v>46195</v>
      </c>
      <c r="C188" s="20">
        <v>873444051546</v>
      </c>
      <c r="D188" s="13" t="s">
        <v>564</v>
      </c>
      <c r="E188" s="13" t="s">
        <v>524</v>
      </c>
      <c r="F188" s="13" t="s">
        <v>556</v>
      </c>
      <c r="G188" s="13">
        <v>1</v>
      </c>
      <c r="H188" s="14">
        <v>7</v>
      </c>
      <c r="I188" s="14">
        <v>7</v>
      </c>
      <c r="J188" s="14">
        <v>8</v>
      </c>
    </row>
    <row r="189" spans="1:10" x14ac:dyDescent="0.3">
      <c r="A189" s="13" t="s">
        <v>552</v>
      </c>
      <c r="B189" s="21">
        <v>46195</v>
      </c>
      <c r="C189" s="20">
        <v>873432912208</v>
      </c>
      <c r="D189" s="13" t="s">
        <v>510</v>
      </c>
      <c r="E189" s="13" t="s">
        <v>509</v>
      </c>
      <c r="F189" s="13" t="s">
        <v>551</v>
      </c>
      <c r="G189" s="13">
        <v>1</v>
      </c>
      <c r="H189" s="14">
        <v>4</v>
      </c>
      <c r="I189" s="14">
        <v>4</v>
      </c>
      <c r="J189" s="14">
        <v>8</v>
      </c>
    </row>
    <row r="190" spans="1:10" x14ac:dyDescent="0.3">
      <c r="A190" s="13" t="s">
        <v>555</v>
      </c>
      <c r="B190" s="21">
        <v>46195</v>
      </c>
      <c r="C190" s="20">
        <v>873432554410</v>
      </c>
      <c r="D190" s="13" t="s">
        <v>554</v>
      </c>
      <c r="E190" s="13"/>
      <c r="F190" s="13" t="s">
        <v>553</v>
      </c>
      <c r="G190" s="13">
        <v>1</v>
      </c>
      <c r="H190" s="14">
        <v>0</v>
      </c>
      <c r="I190" s="14">
        <v>0</v>
      </c>
      <c r="J190" s="14">
        <v>8</v>
      </c>
    </row>
    <row r="191" spans="1:10" x14ac:dyDescent="0.3">
      <c r="A191" s="13" t="s">
        <v>550</v>
      </c>
      <c r="B191" s="21">
        <v>46196</v>
      </c>
      <c r="C191" s="20">
        <v>873494177911</v>
      </c>
      <c r="D191" s="13" t="s">
        <v>549</v>
      </c>
      <c r="E191" s="13" t="s">
        <v>542</v>
      </c>
      <c r="F191" s="13" t="s">
        <v>548</v>
      </c>
      <c r="G191" s="13">
        <v>1</v>
      </c>
      <c r="H191" s="14">
        <v>52</v>
      </c>
      <c r="I191" s="14">
        <v>52</v>
      </c>
      <c r="J191" s="14">
        <v>8</v>
      </c>
    </row>
    <row r="192" spans="1:10" x14ac:dyDescent="0.3">
      <c r="A192" s="13" t="s">
        <v>547</v>
      </c>
      <c r="B192" s="21">
        <v>46197</v>
      </c>
      <c r="C192" s="20">
        <v>873552545648</v>
      </c>
      <c r="D192" s="13" t="s">
        <v>546</v>
      </c>
      <c r="E192" s="13" t="s">
        <v>545</v>
      </c>
      <c r="F192" s="13" t="s">
        <v>544</v>
      </c>
      <c r="G192" s="13">
        <v>1</v>
      </c>
      <c r="H192" s="14">
        <v>7</v>
      </c>
      <c r="I192" s="14">
        <v>7</v>
      </c>
      <c r="J192" s="14">
        <v>8</v>
      </c>
    </row>
    <row r="193" spans="1:10" x14ac:dyDescent="0.3">
      <c r="A193" s="13" t="s">
        <v>541</v>
      </c>
      <c r="B193" s="21">
        <v>46197</v>
      </c>
      <c r="C193" s="20">
        <v>873552792774</v>
      </c>
      <c r="D193" s="13" t="s">
        <v>543</v>
      </c>
      <c r="E193" s="13" t="s">
        <v>542</v>
      </c>
      <c r="F193" s="13" t="s">
        <v>538</v>
      </c>
      <c r="G193" s="13">
        <v>1</v>
      </c>
      <c r="H193" s="14">
        <v>52</v>
      </c>
      <c r="I193" s="14">
        <v>52</v>
      </c>
      <c r="J193" s="14">
        <v>8</v>
      </c>
    </row>
    <row r="194" spans="1:10" x14ac:dyDescent="0.3">
      <c r="A194" s="13" t="s">
        <v>541</v>
      </c>
      <c r="B194" s="21">
        <v>46197</v>
      </c>
      <c r="C194" s="20">
        <v>873552792774</v>
      </c>
      <c r="D194" s="13" t="s">
        <v>540</v>
      </c>
      <c r="E194" s="13" t="s">
        <v>539</v>
      </c>
      <c r="F194" s="13" t="s">
        <v>538</v>
      </c>
      <c r="G194" s="13">
        <v>1</v>
      </c>
      <c r="H194" s="14">
        <v>4</v>
      </c>
      <c r="I194" s="14">
        <v>4</v>
      </c>
      <c r="J194" s="14">
        <v>8</v>
      </c>
    </row>
    <row r="195" spans="1:10" x14ac:dyDescent="0.3">
      <c r="A195" s="13" t="s">
        <v>537</v>
      </c>
      <c r="B195" s="21">
        <v>46197</v>
      </c>
      <c r="C195" s="20">
        <v>873552071343</v>
      </c>
      <c r="D195" s="13" t="s">
        <v>536</v>
      </c>
      <c r="E195" s="13" t="s">
        <v>509</v>
      </c>
      <c r="F195" s="13" t="s">
        <v>535</v>
      </c>
      <c r="G195" s="13">
        <v>1</v>
      </c>
      <c r="H195" s="14">
        <v>4</v>
      </c>
      <c r="I195" s="14">
        <v>4</v>
      </c>
      <c r="J195" s="14">
        <v>8</v>
      </c>
    </row>
    <row r="196" spans="1:10" x14ac:dyDescent="0.3">
      <c r="A196" s="13" t="s">
        <v>531</v>
      </c>
      <c r="B196" s="21">
        <v>46197</v>
      </c>
      <c r="C196" s="20">
        <v>873552670906</v>
      </c>
      <c r="D196" s="13" t="s">
        <v>530</v>
      </c>
      <c r="E196" s="13" t="s">
        <v>509</v>
      </c>
      <c r="F196" s="13" t="s">
        <v>529</v>
      </c>
      <c r="G196" s="13">
        <v>1</v>
      </c>
      <c r="H196" s="14">
        <v>4</v>
      </c>
      <c r="I196" s="14">
        <v>4</v>
      </c>
      <c r="J196" s="14">
        <v>8</v>
      </c>
    </row>
    <row r="197" spans="1:10" x14ac:dyDescent="0.3">
      <c r="A197" s="13" t="s">
        <v>534</v>
      </c>
      <c r="B197" s="21">
        <v>46197</v>
      </c>
      <c r="C197" s="20">
        <v>873552372738</v>
      </c>
      <c r="D197" s="13" t="s">
        <v>533</v>
      </c>
      <c r="E197" s="13"/>
      <c r="F197" s="13" t="s">
        <v>532</v>
      </c>
      <c r="G197" s="13">
        <v>1</v>
      </c>
      <c r="H197" s="14">
        <v>0</v>
      </c>
      <c r="I197" s="14">
        <v>0</v>
      </c>
      <c r="J197" s="14">
        <v>8</v>
      </c>
    </row>
    <row r="198" spans="1:10" x14ac:dyDescent="0.3">
      <c r="A198" s="13" t="s">
        <v>522</v>
      </c>
      <c r="B198" s="21">
        <v>46198</v>
      </c>
      <c r="C198" s="20">
        <v>873608437437</v>
      </c>
      <c r="D198" s="13" t="s">
        <v>521</v>
      </c>
      <c r="E198" s="13" t="s">
        <v>520</v>
      </c>
      <c r="F198" s="13" t="s">
        <v>519</v>
      </c>
      <c r="G198" s="13">
        <v>1</v>
      </c>
      <c r="H198" s="14">
        <v>37</v>
      </c>
      <c r="I198" s="14">
        <v>37</v>
      </c>
      <c r="J198" s="14">
        <v>8</v>
      </c>
    </row>
    <row r="199" spans="1:10" x14ac:dyDescent="0.3">
      <c r="A199" s="13" t="s">
        <v>528</v>
      </c>
      <c r="B199" s="21">
        <v>46198</v>
      </c>
      <c r="C199" s="20">
        <v>873608670409</v>
      </c>
      <c r="D199" s="13" t="s">
        <v>525</v>
      </c>
      <c r="E199" s="13" t="s">
        <v>524</v>
      </c>
      <c r="F199" s="13" t="s">
        <v>527</v>
      </c>
      <c r="G199" s="13">
        <v>1</v>
      </c>
      <c r="H199" s="14">
        <v>7</v>
      </c>
      <c r="I199" s="14">
        <v>7</v>
      </c>
      <c r="J199" s="14">
        <v>8</v>
      </c>
    </row>
    <row r="200" spans="1:10" x14ac:dyDescent="0.3">
      <c r="A200" s="13" t="s">
        <v>526</v>
      </c>
      <c r="B200" s="21">
        <v>46198</v>
      </c>
      <c r="C200" s="20">
        <v>873608709089</v>
      </c>
      <c r="D200" s="13" t="s">
        <v>525</v>
      </c>
      <c r="E200" s="13" t="s">
        <v>524</v>
      </c>
      <c r="F200" s="13" t="s">
        <v>523</v>
      </c>
      <c r="G200" s="13">
        <v>1</v>
      </c>
      <c r="H200" s="14">
        <v>7</v>
      </c>
      <c r="I200" s="14">
        <v>7</v>
      </c>
      <c r="J200" s="14">
        <v>8</v>
      </c>
    </row>
    <row r="201" spans="1:10" x14ac:dyDescent="0.3">
      <c r="A201" s="13" t="s">
        <v>518</v>
      </c>
      <c r="B201" s="21">
        <v>46198</v>
      </c>
      <c r="C201" s="20">
        <v>873608326014</v>
      </c>
      <c r="D201" s="13" t="s">
        <v>517</v>
      </c>
      <c r="E201" s="13" t="s">
        <v>509</v>
      </c>
      <c r="F201" s="13" t="s">
        <v>516</v>
      </c>
      <c r="G201" s="13">
        <v>1</v>
      </c>
      <c r="H201" s="14">
        <v>4</v>
      </c>
      <c r="I201" s="14">
        <v>4</v>
      </c>
      <c r="J201" s="14">
        <v>8</v>
      </c>
    </row>
    <row r="202" spans="1:10" x14ac:dyDescent="0.3">
      <c r="A202" s="13" t="s">
        <v>515</v>
      </c>
      <c r="B202" s="21">
        <v>46198</v>
      </c>
      <c r="C202" s="20">
        <v>873608546250</v>
      </c>
      <c r="D202" s="13" t="s">
        <v>510</v>
      </c>
      <c r="E202" s="13" t="s">
        <v>509</v>
      </c>
      <c r="F202" s="13" t="s">
        <v>514</v>
      </c>
      <c r="G202" s="13">
        <v>1</v>
      </c>
      <c r="H202" s="14">
        <v>4</v>
      </c>
      <c r="I202" s="14">
        <v>4</v>
      </c>
      <c r="J202" s="14">
        <v>8</v>
      </c>
    </row>
    <row r="203" spans="1:10" x14ac:dyDescent="0.3">
      <c r="A203" s="13" t="s">
        <v>513</v>
      </c>
      <c r="B203" s="21">
        <v>46199</v>
      </c>
      <c r="C203" s="20">
        <v>873697650854</v>
      </c>
      <c r="D203" s="13" t="s">
        <v>510</v>
      </c>
      <c r="E203" s="13" t="s">
        <v>509</v>
      </c>
      <c r="F203" s="13" t="s">
        <v>512</v>
      </c>
      <c r="G203" s="13">
        <v>1</v>
      </c>
      <c r="H203" s="14">
        <v>4</v>
      </c>
      <c r="I203" s="14">
        <v>4</v>
      </c>
      <c r="J203" s="14">
        <v>8</v>
      </c>
    </row>
    <row r="204" spans="1:10" x14ac:dyDescent="0.3">
      <c r="A204" s="13" t="s">
        <v>511</v>
      </c>
      <c r="B204" s="21">
        <v>46199</v>
      </c>
      <c r="C204" s="20">
        <v>873697747530</v>
      </c>
      <c r="D204" s="13" t="s">
        <v>510</v>
      </c>
      <c r="E204" s="13" t="s">
        <v>509</v>
      </c>
      <c r="F204" s="13" t="s">
        <v>508</v>
      </c>
      <c r="G204" s="13">
        <v>1</v>
      </c>
      <c r="H204" s="14">
        <v>4</v>
      </c>
      <c r="I204" s="14">
        <v>4</v>
      </c>
      <c r="J204" s="14">
        <v>8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Breakdown</vt:lpstr>
      <vt:lpstr>Depot Repair</vt:lpstr>
      <vt:lpstr>Triage Units</vt:lpstr>
      <vt:lpstr>Part Testing &amp; Programming</vt:lpstr>
      <vt:lpstr>Breakdown!Print_Area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Shaw</dc:creator>
  <cp:lastModifiedBy>Matt Shaw</cp:lastModifiedBy>
  <cp:lastPrinted>2026-02-06T12:52:29Z</cp:lastPrinted>
  <dcterms:created xsi:type="dcterms:W3CDTF">2025-03-11T16:01:35Z</dcterms:created>
  <dcterms:modified xsi:type="dcterms:W3CDTF">2026-08-05T15:20:04Z</dcterms:modified>
</cp:coreProperties>
</file>